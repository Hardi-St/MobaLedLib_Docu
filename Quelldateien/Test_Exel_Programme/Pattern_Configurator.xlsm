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DieseArbeitsmappe"/>
  <mc:AlternateContent xmlns:mc="http://schemas.openxmlformats.org/markup-compatibility/2006">
    <mc:Choice Requires="x15">
      <x15ac:absPath xmlns:x15ac="http://schemas.microsoft.com/office/spreadsheetml/2010/11/ac" url="C:\Users\Hardi\Documents\Arduino\MobaLedLib_0.9.3\"/>
    </mc:Choice>
  </mc:AlternateContent>
  <xr:revisionPtr revIDLastSave="0" documentId="13_ncr:1_{9556E6FB-A3C1-4DBF-9AE3-E65785D1F93F}"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Goto_Activation_Entries" sheetId="500" state="hidden" r:id="rId2"/>
    <sheet name="Par_Description" sheetId="501" state="hidden" r:id="rId3"/>
    <sheet name="Languages" sheetId="73" state="hidden" r:id="rId4"/>
  </sheets>
  <functionGroups builtInGroupCount="19"/>
  <definedNames>
    <definedName name="_xlnm._FilterDatabase" localSheetId="1" hidden="1">Goto_Activation_Entries!$A$3:$F$7</definedName>
    <definedName name="_xlnm._FilterDatabase" localSheetId="2" hidden="1">Par_Description!$A$1:$I$32</definedName>
    <definedName name="Analog">Main!$E$29</definedName>
    <definedName name="Analoges_Überblenden">Main!$E$11</definedName>
    <definedName name="AnalogUeberbl">Main!$E$11</definedName>
    <definedName name="Bits_pro_Wert">Main!$E$6</definedName>
    <definedName name="DataBytes" localSheetId="0">Main!$K$40</definedName>
    <definedName name="Ende">Main!$E$38</definedName>
    <definedName name="ErsteRGBLED">Main!$E$2</definedName>
    <definedName name="FreeBits">Main!$E$35</definedName>
    <definedName name="FreeBits_BpC">Main!$E$33</definedName>
    <definedName name="Goto_Aktivierung">Main!$E$13</definedName>
    <definedName name="Goto_Bytes">Main!$E$37</definedName>
    <definedName name="Goto_Mode">Main!$E$12</definedName>
    <definedName name="Grafische_Anzeige">Main!$E$14</definedName>
    <definedName name="HP0">#REF!</definedName>
    <definedName name="InChStr">Main!$H$31</definedName>
    <definedName name="InNrStr">Main!$H$31</definedName>
    <definedName name="InNrStr2">Main!$J$31</definedName>
    <definedName name="InputCh">Main!$E$31</definedName>
    <definedName name="Kanaele">Main!$E$5</definedName>
    <definedName name="Macro_Range">Main!$E$19</definedName>
    <definedName name="Makro_Name">Main!$E$18</definedName>
    <definedName name="Mode">Main!$E$10</definedName>
    <definedName name="Pattern_Bytes">Main!$E$36</definedName>
    <definedName name="Pattern_u_FreeBits">Main!$E$34</definedName>
    <definedName name="SchalterNr">Main!$E$4</definedName>
    <definedName name="ShalterNr">Main!$E$4</definedName>
    <definedName name="Start">Main!$E$30</definedName>
    <definedName name="Startkanal">Main!$E$3</definedName>
    <definedName name="StCh_FreeBits_BpC">Main!$E$32</definedName>
    <definedName name="TimerBytes" localSheetId="0">Main!$H$40</definedName>
    <definedName name="Wert_ausgeschaltet">Main!$E$9</definedName>
    <definedName name="Wert_Min">Main!$E$7</definedName>
    <definedName name="Wert0">Main!$E$7</definedName>
    <definedName name="WertMax">Main!$E$8</definedName>
    <definedName name="Zeiten">Main!$E$27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25" i="11" l="1"/>
  <c r="F44" i="11"/>
  <c r="H5" i="501" l="1"/>
  <c r="H4" i="501"/>
  <c r="AI25" i="11"/>
  <c r="D7" i="500" l="1"/>
  <c r="D8" i="500"/>
  <c r="AH25" i="11"/>
  <c r="D4" i="500" l="1"/>
  <c r="D5" i="500"/>
  <c r="D6" i="500"/>
  <c r="AG25" i="11"/>
  <c r="J31" i="11" l="1"/>
  <c r="H31" i="11"/>
  <c r="AF25" i="11"/>
  <c r="F9" i="11" l="1"/>
  <c r="F8" i="11"/>
  <c r="F7" i="11"/>
  <c r="F6" i="11"/>
  <c r="F5" i="11"/>
  <c r="F4" i="11"/>
  <c r="F3" i="11"/>
  <c r="F2" i="11"/>
  <c r="AE25" i="11"/>
  <c r="E31" i="11" l="1"/>
  <c r="AD25" i="11"/>
  <c r="E37" i="11"/>
  <c r="E29" i="11" l="1"/>
  <c r="AC25" i="11"/>
  <c r="E34" i="11"/>
  <c r="E36" i="11" l="1"/>
  <c r="AB25" i="11"/>
  <c r="FN1" i="11" l="1"/>
  <c r="AA25" i="11"/>
  <c r="K40" i="11" l="1"/>
  <c r="E35" i="11"/>
  <c r="Z25" i="11"/>
  <c r="E32" i="11" l="1"/>
  <c r="E33" i="11"/>
  <c r="AJ26" i="11"/>
  <c r="AI26" i="11" s="1"/>
  <c r="Y25" i="11"/>
  <c r="F32" i="11" l="1"/>
  <c r="AH26" i="11"/>
  <c r="X25" i="11"/>
  <c r="AG26" i="11" l="1"/>
  <c r="W25" i="11"/>
  <c r="AF26" i="11" l="1"/>
  <c r="V25" i="11"/>
  <c r="AE26" i="11" l="1"/>
  <c r="U25" i="11"/>
  <c r="AD26" i="11" l="1"/>
  <c r="T25" i="11"/>
  <c r="AC26" i="11" l="1"/>
  <c r="S25" i="11"/>
  <c r="AB26" i="11" l="1"/>
  <c r="R25" i="11"/>
  <c r="AA26" i="11" l="1"/>
  <c r="Q25" i="11"/>
  <c r="Z26" i="11" l="1"/>
  <c r="P25" i="11"/>
  <c r="Y26" i="11" l="1"/>
  <c r="O25" i="11"/>
  <c r="X26" i="11" l="1"/>
  <c r="N25" i="11"/>
  <c r="W26" i="11" l="1"/>
  <c r="M25" i="11"/>
  <c r="V26" i="11" l="1"/>
  <c r="L25" i="11"/>
  <c r="U26" i="11" l="1"/>
  <c r="K25" i="11"/>
  <c r="T26" i="11" l="1"/>
  <c r="J25" i="11"/>
  <c r="S26" i="11" l="1"/>
  <c r="I25" i="11"/>
  <c r="R26" i="11" l="1"/>
  <c r="H25" i="11"/>
  <c r="Q26" i="11" l="1"/>
  <c r="G25" i="11"/>
  <c r="P26" i="11" l="1"/>
  <c r="F25" i="11"/>
  <c r="O26" i="11" l="1"/>
  <c r="E25" i="11"/>
  <c r="N26" i="11" l="1"/>
  <c r="M26" i="11" l="1"/>
  <c r="L26" i="11" l="1"/>
  <c r="K26" i="11" l="1"/>
  <c r="J26" i="11" l="1"/>
  <c r="I26" i="11" l="1"/>
  <c r="H26" i="11" l="1"/>
  <c r="G26" i="11" l="1"/>
  <c r="F26" i="11" l="1"/>
  <c r="E30" i="11"/>
  <c r="H40" i="11" l="1"/>
  <c r="E42" i="11" s="1"/>
  <c r="E26" i="11"/>
  <c r="E27" i="11" l="1"/>
  <c r="D24" i="11" s="1"/>
  <c r="E38" i="11" l="1"/>
  <c r="E16" i="11" s="1"/>
  <c r="E39" i="11" l="1"/>
  <c r="E19" i="11"/>
  <c r="E2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16-mal langsamer. Zeitangaben in 16 ms. 
  Dadurch können Zeiten über 17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6" authorId="1" shapeId="0" xr:uid="{00000000-0006-0000-0000-00000E000000}">
      <text>
        <r>
          <rPr>
            <sz val="9"/>
            <color indexed="81"/>
            <rFont val="Segoe UI"/>
            <family val="2"/>
          </rPr>
          <t>Diese Zeile kann in das Konfigurationsarray des Programms kopiert werden.</t>
        </r>
      </text>
    </comment>
    <comment ref="E43" authorId="0" shapeId="0" xr:uid="{00000000-0006-0000-0000-00000F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1C00-000001000000}">
      <text>
        <r>
          <rPr>
            <sz val="9"/>
            <color indexed="81"/>
            <rFont val="Segoe UI"/>
            <family val="2"/>
          </rPr>
          <t xml:space="preserve">'e' = Not finished =&gt; Expert
Change to Normal if finished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1D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<sst xmlns="http://schemas.openxmlformats.org/spreadsheetml/2006/main" count="526" uniqueCount="349">
  <si>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</si>
  <si>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</si>
  <si>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</si>
  <si>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</si>
  <si>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</si>
  <si>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</si>
  <si>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</si>
  <si>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</si>
  <si>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</si>
  <si>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</si>
  <si>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</si>
  <si>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</si>
  <si>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</si>
  <si>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</si>
  <si>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</si>
  <si>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</si>
  <si>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</si>
  <si>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</si>
  <si>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</si>
  <si>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</si>
  <si>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</si>
  <si>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</si>
  <si>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</si>
  <si>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</si>
  <si>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</si>
  <si>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</si>
  <si>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</si>
  <si>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</si>
  <si>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</si>
  <si>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</si>
  <si>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</si>
  <si>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</si>
  <si>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</si>
  <si>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</si>
  <si>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</si>
  <si>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</si>
  <si>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</si>
  <si>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</si>
  <si>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</si>
  <si>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</si>
  <si>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</si>
  <si>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</si>
  <si>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</si>
  <si>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</si>
  <si>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</si>
  <si>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</si>
  <si>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</si>
  <si>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</si>
  <si>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</si>
  <si>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</si>
  <si>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</si>
  <si>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</si>
  <si>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</si>
  <si>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</si>
  <si>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</si>
  <si>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</si>
  <si>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</si>
  <si>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</si>
  <si>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</si>
  <si>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</si>
  <si>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</si>
  <si>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</si>
  <si>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</si>
  <si>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</si>
  <si>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</si>
  <si>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</si>
  <si>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</si>
  <si>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</si>
  <si>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</si>
  <si>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</si>
  <si>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</si>
  <si>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</si>
  <si>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</si>
  <si>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</si>
  <si>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</si>
  <si>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</si>
  <si>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</si>
  <si>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</si>
  <si>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</si>
  <si>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</si>
  <si>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</si>
  <si>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</si>
  <si>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</si>
  <si>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</si>
  <si>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</si>
  <si>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</si>
  <si>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</si>
  <si>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</si>
  <si>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</si>
  <si>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</si>
  <si>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</si>
  <si>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</si>
  <si>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</si>
  <si>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</si>
  <si>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</si>
  <si>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</si>
  <si>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</si>
  <si>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</si>
  <si>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</si>
  <si>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</si>
  <si>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</si>
  <si>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</si>
  <si>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</si>
  <si>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</si>
  <si>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</si>
  <si>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</si>
  <si>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</si>
  <si>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</si>
  <si>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</si>
  <si>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</si>
  <si>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</si>
  <si>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</si>
  <si>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</si>
  <si>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</si>
  <si>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</si>
  <si>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</si>
  <si>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</si>
  <si>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</si>
  <si>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</si>
  <si>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</si>
  <si>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</si>
  <si>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</si>
  <si>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</si>
  <si>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</si>
  <si>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</si>
  <si>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</si>
  <si>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</si>
  <si>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</si>
  <si>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</si>
  <si>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</si>
  <si>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</si>
  <si>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</si>
  <si>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</si>
  <si>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</si>
  <si>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</si>
  <si>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</si>
  <si>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</si>
  <si>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</si>
  <si>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</si>
  <si>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</si>
  <si>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</si>
  <si>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</si>
  <si>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</si>
  <si>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</si>
  <si>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</si>
  <si>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</si>
  <si>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</si>
  <si>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</si>
  <si>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</si>
  <si>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</si>
  <si>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</si>
  <si>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</si>
  <si>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</si>
  <si>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</si>
  <si>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</si>
  <si>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</si>
  <si>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</si>
  <si>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</si>
  <si>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</si>
  <si>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</si>
  <si>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</si>
  <si>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</si>
  <si>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</si>
  <si>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</si>
  <si>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</si>
  <si>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</si>
  <si>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</si>
  <si>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</si>
  <si>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</si>
  <si>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</si>
  <si>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</si>
  <si>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</si>
  <si>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</si>
  <si>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</si>
  <si>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</si>
  <si>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</si>
  <si>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</si>
  <si>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</si>
  <si>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</si>
  <si>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</si>
  <si>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</si>
  <si>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</si>
  <si>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</si>
  <si>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</si>
  <si>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</si>
  <si>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</si>
  <si>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</si>
  <si>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</si>
  <si>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</si>
  <si>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</si>
  <si>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</si>
  <si>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</si>
  <si>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</si>
  <si>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</si>
  <si>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</si>
  <si>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</si>
  <si>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</si>
  <si>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</si>
  <si>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</si>
  <si>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</si>
  <si>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</si>
  <si>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</si>
  <si>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</si>
  <si>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</si>
  <si>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</si>
  <si>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</si>
  <si>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</si>
  <si>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</si>
  <si>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</si>
  <si>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</si>
  <si>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</si>
  <si>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</si>
  <si>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</si>
  <si>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</si>
  <si>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</si>
  <si>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</si>
  <si>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</si>
  <si>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</si>
  <si>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</si>
  <si>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</si>
  <si>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</si>
  <si>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</si>
  <si>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</si>
  <si>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</si>
  <si>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</si>
  <si>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</si>
  <si>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</si>
  <si>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</si>
  <si>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</si>
  <si>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</si>
  <si>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</si>
  <si>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</si>
  <si>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</si>
  <si>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</si>
  <si>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</si>
  <si>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</si>
  <si>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</si>
  <si>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</si>
  <si>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</si>
  <si>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</si>
  <si>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</si>
  <si>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</si>
  <si>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</si>
  <si>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</si>
  <si>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</si>
  <si>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</si>
  <si>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</si>
  <si>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</si>
  <si>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</si>
  <si>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</si>
  <si>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</si>
  <si>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</si>
  <si>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</si>
  <si>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</si>
  <si>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</si>
  <si>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</si>
  <si>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</si>
  <si>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</si>
  <si>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</si>
  <si>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</si>
  <si>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</si>
  <si>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</si>
  <si>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</si>
  <si>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</si>
  <si>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</si>
  <si>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</si>
  <si>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</si>
  <si>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</si>
  <si>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</si>
  <si>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</si>
  <si>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</si>
  <si>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</si>
  <si>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</si>
  <si>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</si>
  <si>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</si>
  <si>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</si>
  <si>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</si>
  <si>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</si>
  <si>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</si>
  <si>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</si>
  <si>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</si>
  <si>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</si>
  <si>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</si>
  <si>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</si>
  <si>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</si>
  <si>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</si>
  <si>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</si>
  <si>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</si>
  <si>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</si>
  <si>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</si>
  <si>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</si>
  <si>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</si>
  <si>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</si>
  <si>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</si>
  <si>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</si>
  <si>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</si>
  <si>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</si>
  <si>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D19</t>
  </si>
  <si>
    <t>E24</t>
  </si>
  <si>
    <t>E45</t>
  </si>
  <si>
    <t>D45</t>
  </si>
  <si>
    <t>E43</t>
  </si>
  <si>
    <t>D24</t>
  </si>
  <si>
    <t>Goto activation:</t>
  </si>
  <si>
    <t>N_Buttons</t>
  </si>
  <si>
    <t>Mode</t>
  </si>
  <si>
    <t>Macro</t>
  </si>
  <si>
    <t>Kurzbeschreibung</t>
  </si>
  <si>
    <t>Ausführliche Beschreibung</t>
  </si>
  <si>
    <t>Binary</t>
  </si>
  <si>
    <t>Counter(Flags, Timeout)</t>
  </si>
  <si>
    <t>RandomTime(MinTime, MaxTime)</t>
  </si>
  <si>
    <t>Liste der verfügbaren Goto Aktivierungsmethoden</t>
  </si>
  <si>
    <t>Die Startposition wird durch die binäre Kombination der Eingänge bestimmt.</t>
  </si>
  <si>
    <t>Jeder Taster setzt ein Bit der Variable. Der zuletzt gedrückte Taster bestimmt die Startposition. Es sind maximal 8 verschiedene Goto Positionen möglich. Diese Steuerung eignet sich z.B. für die MS2.</t>
  </si>
  <si>
    <t>Bei manche Zentralen können meherer Einzelne Zustände zu einem gemeinsahmen Zustand zusammengefasst werden. Damit reduziert sich die Anzahl der benötigten Adressen. Die einzelnen Eingänge werden Binär zu einer Zahl zusammengefasst. Dadurch können bis zu 256 Startpositionen angesprochen werden.</t>
  </si>
  <si>
    <t>Bis zu 8 Taster steuern die Startspalte.</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</si>
  <si>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</si>
  <si>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</si>
  <si>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</si>
  <si>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</si>
  <si>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</si>
  <si>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Diese Funktion aktiviert nach einer zufälligen Zeit eine zufällige Startposition. Die Position 0 wird nur zu beginn aktiviert oder dann wenn der Eingang auf 0 ist.</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</si>
  <si>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</si>
  <si>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</si>
  <si>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</si>
  <si>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</si>
  <si>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</si>
  <si>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</si>
  <si>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</si>
  <si>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</si>
  <si>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</si>
  <si>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</si>
  <si>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</si>
  <si>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</si>
  <si>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</si>
  <si>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</si>
  <si>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</si>
  <si>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</si>
  <si>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</si>
  <si>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</si>
  <si>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</si>
  <si>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</si>
  <si>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</si>
  <si>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x</t>
  </si>
  <si>
    <t>Enter the name of the picture (Use the same name as used before if the pictures are equal)</t>
  </si>
  <si>
    <t>Name des angezeigten Bildes eingeben (Wenn das Bild gleich ist wie ein vorangegangenes Bild, dann sollte der gleiche Name verwendet werden)</t>
  </si>
  <si>
    <t>OutCnt</t>
  </si>
  <si>
    <t>Ver.: 0.85   7.12.19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</si>
</sst>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8"/>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sz val="11"/>
      <color theme="0" tint="-0.34998626667073579"/>
      <name val="Calibri"/>
      <family val="2"/>
      <scheme val="minor"/>
    </font>
    <font>
      <b/>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1" fillId="0" borderId="0"/>
  </cellStyleXfs>
  <cellXfs count="9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2" fillId="0" borderId="0" xfId="2" applyFont="1"/>
    <xf numFmtId="0" fontId="21" fillId="0" borderId="0" xfId="2"/>
    <xf numFmtId="14" fontId="21" fillId="0" borderId="0" xfId="2" applyNumberFormat="1" applyAlignment="1">
      <alignment horizontal="left"/>
    </xf>
    <xf numFmtId="0" fontId="23" fillId="7" borderId="1" xfId="2" applyFont="1" applyFill="1" applyBorder="1" applyAlignment="1">
      <alignment vertical="center"/>
    </xf>
    <xf numFmtId="0" fontId="23" fillId="7" borderId="1" xfId="2" applyFont="1" applyFill="1" applyBorder="1" applyAlignment="1">
      <alignment vertical="center" textRotation="90"/>
    </xf>
    <xf numFmtId="0" fontId="21" fillId="0" borderId="1" xfId="2" applyBorder="1" applyAlignment="1">
      <alignment horizontal="center" vertical="top"/>
    </xf>
    <xf numFmtId="0" fontId="24" fillId="0" borderId="1" xfId="2" applyFont="1" applyBorder="1" applyAlignment="1">
      <alignment vertical="top"/>
    </xf>
    <xf numFmtId="0" fontId="21" fillId="0" borderId="1" xfId="2" applyBorder="1"/>
    <xf numFmtId="0" fontId="21" fillId="0" borderId="1" xfId="2" applyBorder="1" applyAlignment="1">
      <alignment wrapText="1"/>
    </xf>
    <xf numFmtId="0" fontId="21" fillId="0" borderId="1" xfId="2" applyBorder="1" applyAlignment="1">
      <alignment vertical="top"/>
    </xf>
    <xf numFmtId="0" fontId="25" fillId="0" borderId="1" xfId="2" applyFont="1" applyBorder="1" applyAlignment="1">
      <alignment vertical="top"/>
    </xf>
    <xf numFmtId="0" fontId="25" fillId="0" borderId="1" xfId="2" applyFont="1" applyBorder="1" applyAlignment="1">
      <alignment wrapText="1"/>
    </xf>
    <xf numFmtId="0" fontId="23" fillId="7" borderId="1" xfId="2" applyFont="1" applyFill="1" applyBorder="1" applyAlignment="1">
      <alignment horizontal="center" vertical="top" wrapText="1"/>
    </xf>
    <xf numFmtId="0" fontId="23" fillId="7" borderId="1" xfId="2" applyFont="1" applyFill="1" applyBorder="1" applyAlignment="1">
      <alignment horizontal="left" vertical="top" wrapText="1"/>
    </xf>
    <xf numFmtId="0" fontId="21" fillId="0" borderId="0" xfId="2" applyAlignment="1">
      <alignment horizontal="center"/>
    </xf>
    <xf numFmtId="0" fontId="21" fillId="0" borderId="0" xfId="2" applyFont="1" applyAlignment="1">
      <alignment horizontal="center"/>
    </xf>
    <xf numFmtId="0" fontId="21" fillId="0" borderId="0" xfId="2" applyFont="1" applyAlignment="1">
      <alignment horizontal="left"/>
    </xf>
    <xf numFmtId="0" fontId="21" fillId="0" borderId="0" xfId="2" applyAlignment="1">
      <alignment horizontal="left"/>
    </xf>
    <xf numFmtId="0" fontId="21" fillId="0" borderId="0" xfId="2" applyFont="1"/>
    <xf numFmtId="0" fontId="26" fillId="0" borderId="0" xfId="2" applyFont="1" applyAlignment="1">
      <alignment horizontal="left"/>
    </xf>
    <xf numFmtId="0" fontId="26" fillId="0" borderId="0" xfId="2" applyFont="1"/>
    <xf numFmtId="0" fontId="21" fillId="0" borderId="0" xfId="0" applyFont="1" applyAlignment="1">
      <alignment horizontal="left"/>
    </xf>
    <xf numFmtId="0" fontId="27" fillId="0" borderId="0" xfId="0" applyFont="1" applyAlignment="1">
      <alignment horizontal="right"/>
    </xf>
    <xf numFmtId="0" fontId="27" fillId="2" borderId="0" xfId="0" applyFont="1" applyFill="1" applyAlignment="1" applyProtection="1">
      <alignment horizontal="left"/>
      <protection locked="0"/>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76200</xdr:colOff>
          <xdr:row>13</xdr:row>
          <xdr:rowOff>0</xdr:rowOff>
        </xdr:from>
        <xdr:to>
          <xdr:col>7</xdr:col>
          <xdr:colOff>30480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31</xdr:col>
      <xdr:colOff>95784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76200</xdr:colOff>
          <xdr:row>0</xdr:row>
          <xdr:rowOff>38100</xdr:rowOff>
        </xdr:from>
        <xdr:to>
          <xdr:col>7</xdr:col>
          <xdr:colOff>30480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44</xdr:row>
          <xdr:rowOff>0</xdr:rowOff>
        </xdr:from>
        <xdr:to>
          <xdr:col>1</xdr:col>
          <xdr:colOff>594360</xdr:colOff>
          <xdr:row>49</xdr:row>
          <xdr:rowOff>30480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41</xdr:row>
          <xdr:rowOff>152400</xdr:rowOff>
        </xdr:from>
        <xdr:to>
          <xdr:col>4</xdr:col>
          <xdr:colOff>403860</xdr:colOff>
          <xdr:row>43</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152400</xdr:rowOff>
        </xdr:from>
        <xdr:to>
          <xdr:col>4</xdr:col>
          <xdr:colOff>182880</xdr:colOff>
          <xdr:row>43</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18</xdr:row>
          <xdr:rowOff>30480</xdr:rowOff>
        </xdr:from>
        <xdr:to>
          <xdr:col>1</xdr:col>
          <xdr:colOff>594360</xdr:colOff>
          <xdr:row>41</xdr:row>
          <xdr:rowOff>121920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N336"/>
  <sheetViews>
    <sheetView showGridLines="0" showRowColHeaders="0" tabSelected="1" zoomScaleNormal="100" workbookViewId="0">
      <selection activeCell="F10" sqref="F10"/>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153" width="7.44140625" customWidth="1"/>
  </cols>
  <sheetData>
    <row r="1" spans="3:170" ht="21" x14ac:dyDescent="0.3">
      <c r="C1" s="39"/>
      <c r="D1" s="24" t="s">
        <v>348</v>
      </c>
      <c r="E1" s="38"/>
      <c r="F1" s="19"/>
      <c r="G1" s="19"/>
      <c r="H1" s="19"/>
      <c r="I1" s="19"/>
      <c r="J1" s="19"/>
      <c r="K1" s="37"/>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FN1" t="e">
        <f>+FV:GME26FX:GMFR:GMFN:GMFJ:GMFF:GMFB:GMBE:GM</f>
        <v>#NAME?</v>
      </c>
    </row>
    <row r="2" spans="3:170" x14ac:dyDescent="0.3">
      <c r="D2" s="1" t="s">
        <v>1</v>
      </c>
      <c r="E2" s="40">
        <v>0</v>
      </c>
      <c r="F2" s="4" t="str">
        <f>IF(E2="","&lt;= Bitte erste RGB LED des Musters eingeben","")</f>
        <v/>
      </c>
      <c r="H2" s="19"/>
      <c r="I2" s="19"/>
      <c r="J2" s="61"/>
      <c r="K2" s="61"/>
      <c r="L2" s="61"/>
      <c r="M2" s="62"/>
      <c r="N2" s="63"/>
      <c r="O2" s="61"/>
      <c r="P2" s="6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170" x14ac:dyDescent="0.3">
      <c r="D3" s="1" t="s">
        <v>7</v>
      </c>
      <c r="E3" s="40">
        <v>0</v>
      </c>
      <c r="F3" s="4" t="str">
        <f>IF(OR(AND(E3 &lt;&gt;"",E3=0),E3=1,E3=2),"","&lt;= Bitte Startkanal innerhalb der RGB LED angeben")</f>
        <v/>
      </c>
      <c r="H3" s="19"/>
      <c r="I3" s="19"/>
      <c r="J3" s="61"/>
      <c r="K3" s="61"/>
      <c r="L3" s="61"/>
      <c r="M3" s="62"/>
      <c r="N3" s="63"/>
      <c r="O3" s="61"/>
      <c r="P3" s="6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170" x14ac:dyDescent="0.3">
      <c r="D4" s="1" t="s">
        <v>2</v>
      </c>
      <c r="E4" s="40" t="s">
        <v>24</v>
      </c>
      <c r="F4" s="4" t="str">
        <f>IF(E4="","&lt;= Bitte Nummer des Schalters eingeben","")</f>
        <v/>
      </c>
      <c r="H4" s="19"/>
      <c r="I4" s="19"/>
      <c r="J4" s="61"/>
      <c r="K4" s="61"/>
      <c r="L4" s="64"/>
      <c r="M4" s="62"/>
      <c r="N4" s="63"/>
      <c r="O4" s="61"/>
      <c r="P4" s="6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170" x14ac:dyDescent="0.3">
      <c r="D5" s="1" t="s">
        <v>3</v>
      </c>
      <c r="E5" s="40">
        <v>2</v>
      </c>
      <c r="F5" s="4" t="str">
        <f>IF(AND(ISNUMBER(Kanaele),Kanaele&gt;0,Kanaele&lt;=100),"","&lt;- Bitte Anzahl der Kanäle eingeben(1..100)")</f>
        <v/>
      </c>
      <c r="H5" s="19"/>
      <c r="I5" s="19"/>
      <c r="J5" s="61"/>
      <c r="K5" s="61"/>
      <c r="L5" s="61"/>
      <c r="M5" s="61"/>
      <c r="N5" s="61"/>
      <c r="O5" s="61"/>
      <c r="P5" s="6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170" x14ac:dyDescent="0.3">
      <c r="D6" s="1" t="s">
        <v>36</v>
      </c>
      <c r="E6" s="40">
        <v>1</v>
      </c>
      <c r="F6" t="str">
        <f>CONCATENATE("  =&gt; ",2^Bits_pro_Wert," Helligkeitsstufen (0..",2^Bits_pro_Wert-1,")")</f>
        <v xml:space="preserve">  =&gt; 2 Helligkeitsstufen (0..1)</v>
      </c>
      <c r="H6" s="19"/>
      <c r="I6" s="19"/>
      <c r="J6" s="61"/>
      <c r="K6" s="61"/>
      <c r="L6" s="61"/>
      <c r="M6" s="61"/>
      <c r="N6" s="61"/>
      <c r="O6" s="61"/>
      <c r="P6" s="6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170" x14ac:dyDescent="0.3">
      <c r="D7" s="1" t="s">
        <v>16</v>
      </c>
      <c r="E7" s="40">
        <v>0</v>
      </c>
      <c r="F7" s="4" t="str">
        <f>IF(OR(E7="",E7&lt;0,E7&gt;255),"&lt;= Bitte Wert für nicht aktive LED angeben (0..255)","")</f>
        <v/>
      </c>
      <c r="H7" s="19"/>
      <c r="I7" s="19"/>
      <c r="J7" s="61"/>
      <c r="K7" s="61"/>
      <c r="L7" s="61"/>
      <c r="M7" s="61"/>
      <c r="N7" s="61"/>
      <c r="O7" s="61"/>
      <c r="P7" s="6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170"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170"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170"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170"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170" x14ac:dyDescent="0.3">
      <c r="D12" s="1" t="s">
        <v>169</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170" x14ac:dyDescent="0.3">
      <c r="D13" s="87" t="s">
        <v>294</v>
      </c>
      <c r="E13" s="88"/>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170"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170" ht="7.2" customHeight="1" x14ac:dyDescent="0.3">
      <c r="G15" s="18"/>
      <c r="H15" s="18"/>
      <c r="I15" s="18"/>
      <c r="J15" s="18"/>
      <c r="K15" s="18"/>
      <c r="L15" s="18"/>
      <c r="M15" s="18"/>
      <c r="N15" s="18"/>
      <c r="O15" s="18"/>
      <c r="P15" s="18"/>
      <c r="Q15" s="18"/>
      <c r="R15" s="18"/>
      <c r="S15" s="18"/>
      <c r="T15" s="18"/>
      <c r="U15" s="18"/>
      <c r="V15" s="18"/>
      <c r="W15" s="18"/>
      <c r="X15" s="18"/>
      <c r="Y15" s="18"/>
      <c r="Z15" s="18"/>
      <c r="AA15" s="18"/>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170" ht="15.6" x14ac:dyDescent="0.3">
      <c r="D16" s="13" t="s">
        <v>0</v>
      </c>
      <c r="E16" s="12" t="str">
        <f>CONCATENATE(Start,ErsteRGBLED,",",StCh_FreeBits_BpC,",",InputCh,",",Ende,"     // ",Makro_Name)</f>
        <v>PatternT1(0,128,SI_1,2,0,128,0,PM_NORMAL,1 Sek,9)     // Wechselblinker</v>
      </c>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t="7.95" customHeight="1" x14ac:dyDescent="0.3">
      <c r="D17" s="13"/>
      <c r="E17" s="12"/>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x14ac:dyDescent="0.3">
      <c r="D18" s="13" t="s">
        <v>9</v>
      </c>
      <c r="E18" s="40" t="s">
        <v>25</v>
      </c>
      <c r="F18" s="41"/>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15.6" x14ac:dyDescent="0.3">
      <c r="D19" s="13" t="s">
        <v>8</v>
      </c>
      <c r="E19" s="20" t="str">
        <f>CONCATENATE("#define ",IF(Makro_Name="","Makro_Name",Makro_Name),"(LED",InNrStr,")                       ",Start,"LED,",StCh_FreeBits_BpC,",",InNrStr2,",",Ende)</f>
        <v>#define Wechselblinker(LED,InCh)                       PatternT1(LED,128,InCh,2,0,128,0,PM_NORMAL,1 Sek,9)</v>
      </c>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4.95" customHeight="1" x14ac:dyDescent="0.3">
      <c r="D20" s="13"/>
      <c r="E20" s="20"/>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15.6" x14ac:dyDescent="0.3">
      <c r="D21" s="13"/>
      <c r="E21" s="23" t="str">
        <f>CONCATENATE("#define ",IF(Makro_Name="","Makro_Name",Makro_Name),"_StCh(LED,StCh",InNrStr,")     ",Start,"LED,","StCh+",FreeBits_BpC,",",InNrStr2,",",Ende)</f>
        <v>#define Wechselblinker_StCh(LED,StCh,InCh)     PatternT1(LED,StCh+128,InCh,2,0,128,0,PM_NORMAL,1 Sek,9)</v>
      </c>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ht="3" customHeight="1" x14ac:dyDescent="0.3">
      <c r="D22" s="13"/>
      <c r="E22" s="23"/>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x14ac:dyDescent="0.3">
      <c r="E23" t="s">
        <v>69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x14ac:dyDescent="0.3">
      <c r="B24" s="19"/>
      <c r="C24" s="3"/>
      <c r="D24" s="59" t="str">
        <f>IF(Zeiten="","Bitte Dauer eintragen =&gt;","")</f>
        <v/>
      </c>
      <c r="E24" s="47" t="s">
        <v>70</v>
      </c>
      <c r="F24" s="35" t="s">
        <v>292</v>
      </c>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92"/>
      <c r="AK24" s="92"/>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row>
    <row r="25" spans="2:153" s="2" customFormat="1" hidden="1" x14ac:dyDescent="0.3">
      <c r="D25" s="9"/>
      <c r="E25" s="10" t="str">
        <f>IF(AND(Ist_Formel(F24),F25=""),"",IF(F24&lt;&gt;"",F24,""))</f>
        <v>1 Sek</v>
      </c>
      <c r="F25" s="10" t="str">
        <f>IF(AND(Ist_Formel(G24),G25=""),"",IF(G24&lt;&gt;"",G24,""))</f>
        <v/>
      </c>
      <c r="G25" s="10" t="str">
        <f>IF(AND(Ist_Formel(H24),H25=""),"",IF(H24&lt;&gt;"",H24,""))</f>
        <v/>
      </c>
      <c r="H25" s="10" t="str">
        <f>IF(AND(Ist_Formel(I24),I25=""),"",IF(I24&lt;&gt;"",I24,""))</f>
        <v/>
      </c>
      <c r="I25" s="10" t="str">
        <f>IF(AND(Ist_Formel(J24),J25=""),"",IF(J24&lt;&gt;"",J24,""))</f>
        <v/>
      </c>
      <c r="J25" s="10" t="str">
        <f>IF(AND(Ist_Formel(K24),K25=""),"",IF(K24&lt;&gt;"",K24,""))</f>
        <v/>
      </c>
      <c r="K25" s="10" t="str">
        <f>IF(AND(Ist_Formel(L24),L25=""),"",IF(L24&lt;&gt;"",L24,""))</f>
        <v/>
      </c>
      <c r="L25" s="10" t="str">
        <f>IF(AND(Ist_Formel(M24),M25=""),"",IF(M24&lt;&gt;"",M24,""))</f>
        <v/>
      </c>
      <c r="M25" s="10" t="str">
        <f>IF(AND(Ist_Formel(N24),N25=""),"",IF(N24&lt;&gt;"",N24,""))</f>
        <v/>
      </c>
      <c r="N25" s="10" t="str">
        <f>IF(AND(Ist_Formel(O24),O25=""),"",IF(O24&lt;&gt;"",O24,""))</f>
        <v/>
      </c>
      <c r="O25" s="10" t="str">
        <f>IF(AND(Ist_Formel(P24),P25=""),"",IF(P24&lt;&gt;"",P24,""))</f>
        <v/>
      </c>
      <c r="P25" s="10" t="str">
        <f>IF(AND(Ist_Formel(Q24),Q25=""),"",IF(Q24&lt;&gt;"",Q24,""))</f>
        <v/>
      </c>
      <c r="Q25" s="10" t="str">
        <f>IF(AND(Ist_Formel(R24),R25=""),"",IF(R24&lt;&gt;"",R24,""))</f>
        <v/>
      </c>
      <c r="R25" s="10" t="str">
        <f>IF(AND(Ist_Formel(S24),S25=""),"",IF(S24&lt;&gt;"",S24,""))</f>
        <v/>
      </c>
      <c r="S25" s="10" t="str">
        <f>IF(AND(Ist_Formel(T24),T25=""),"",IF(T24&lt;&gt;"",T24,""))</f>
        <v/>
      </c>
      <c r="T25" s="10" t="str">
        <f>IF(AND(Ist_Formel(U24),U25=""),"",IF(U24&lt;&gt;"",U24,""))</f>
        <v/>
      </c>
      <c r="U25" s="10" t="str">
        <f>IF(AND(Ist_Formel(V24),V25=""),"",IF(V24&lt;&gt;"",V24,""))</f>
        <v/>
      </c>
      <c r="V25" s="10" t="str">
        <f>IF(AND(Ist_Formel(W24),W25=""),"",IF(W24&lt;&gt;"",W24,""))</f>
        <v/>
      </c>
      <c r="W25" s="10" t="str">
        <f>IF(AND(Ist_Formel(X24),X25=""),"",IF(X24&lt;&gt;"",X24,""))</f>
        <v/>
      </c>
      <c r="X25" s="10" t="str">
        <f>IF(AND(Ist_Formel(Y24),Y25=""),"",IF(Y24&lt;&gt;"",Y24,""))</f>
        <v/>
      </c>
      <c r="Y25" s="10" t="str">
        <f>IF(AND(Ist_Formel(Z24),Z25=""),"",IF(Z24&lt;&gt;"",Z24,""))</f>
        <v/>
      </c>
      <c r="Z25" s="10" t="str">
        <f>IF(AND(Ist_Formel(AA24),AA25=""),"",IF(AA24&lt;&gt;"",AA24,""))</f>
        <v/>
      </c>
      <c r="AA25" s="10" t="str">
        <f>IF(AND(Ist_Formel(AB24),AB25=""),"",IF(AB24&lt;&gt;"",AB24,""))</f>
        <v/>
      </c>
      <c r="AB25" s="10" t="str">
        <f>IF(AND(Ist_Formel(AC24),AC25=""),"",IF(AC24&lt;&gt;"",AC24,""))</f>
        <v/>
      </c>
      <c r="AC25" s="10" t="str">
        <f>IF(AND(Ist_Formel(AD24),AD25=""),"",IF(AD24&lt;&gt;"",AD24,""))</f>
        <v/>
      </c>
      <c r="AD25" s="10" t="str">
        <f>IF(AND(Ist_Formel(AE24),AE25=""),"",IF(AE24&lt;&gt;"",AE24,""))</f>
        <v/>
      </c>
      <c r="AE25" s="10" t="str">
        <f>IF(AND(Ist_Formel(AF24),AF25=""),"",IF(AF24&lt;&gt;"",AF24,""))</f>
        <v/>
      </c>
      <c r="AF25" s="10" t="str">
        <f>IF(AND(Ist_Formel(AG24),AG25=""),"",IF(AG24&lt;&gt;"",AG24,""))</f>
        <v/>
      </c>
      <c r="AG25" s="10" t="str">
        <f>IF(AND(Ist_Formel(AH24),AH25=""),"",IF(AH24&lt;&gt;"",AH24,""))</f>
        <v/>
      </c>
      <c r="AH25" s="10" t="str">
        <f>IF(AND(Ist_Formel(AI24),AI25=""),"",IF(AI24&lt;&gt;"",AI24,""))</f>
        <v/>
      </c>
      <c r="AI25" s="10" t="str">
        <f>IF(AND(Ist_Formel(AJ24),AJ25=""),"",IF(AJ24&lt;&gt;"",AJ24,""))</f>
        <v/>
      </c>
      <c r="AJ25" s="10" t="str">
        <f>IF(AND(Ist_Formel(AK24),AK25=""),"",IF(AK24&lt;&gt;"",AK24,""))</f>
        <v/>
      </c>
    </row>
    <row r="26" spans="2:153" s="2" customFormat="1" hidden="1" x14ac:dyDescent="0.3">
      <c r="E26" s="2" t="str">
        <f>IF(OR(E25&lt;&gt;"",F26&lt;&gt;""),CONCATENATE(",",IF(E25="","!",E25)),"")</f>
        <v>,1 Sek</v>
      </c>
      <c r="F26" s="2" t="str">
        <f t="shared" ref="F26:AJ26" si="0">IF(OR(F25&lt;&gt;"",G26&lt;&gt;""),CONCATENATE(",",IF(F25="","!",F25)),"")</f>
        <v/>
      </c>
      <c r="G26" s="2" t="str">
        <f t="shared" si="0"/>
        <v/>
      </c>
      <c r="H26" s="2" t="str">
        <f t="shared" si="0"/>
        <v/>
      </c>
      <c r="I26" s="2" t="str">
        <f t="shared" si="0"/>
        <v/>
      </c>
      <c r="J26" s="2" t="str">
        <f t="shared" si="0"/>
        <v/>
      </c>
      <c r="K26" s="2" t="str">
        <f t="shared" si="0"/>
        <v/>
      </c>
      <c r="L26" s="2" t="str">
        <f t="shared" si="0"/>
        <v/>
      </c>
      <c r="M26" s="2" t="str">
        <f t="shared" si="0"/>
        <v/>
      </c>
      <c r="N26" s="2" t="str">
        <f t="shared" si="0"/>
        <v/>
      </c>
      <c r="O26" s="2" t="str">
        <f t="shared" si="0"/>
        <v/>
      </c>
      <c r="P26" s="2" t="str">
        <f t="shared" si="0"/>
        <v/>
      </c>
      <c r="Q26" s="2" t="str">
        <f t="shared" si="0"/>
        <v/>
      </c>
      <c r="R26" s="2" t="str">
        <f t="shared" si="0"/>
        <v/>
      </c>
      <c r="S26" s="2" t="str">
        <f t="shared" si="0"/>
        <v/>
      </c>
      <c r="T26" s="2" t="str">
        <f t="shared" si="0"/>
        <v/>
      </c>
      <c r="U26" s="2" t="str">
        <f t="shared" si="0"/>
        <v/>
      </c>
      <c r="V26" s="2" t="str">
        <f t="shared" si="0"/>
        <v/>
      </c>
      <c r="W26" s="2" t="str">
        <f t="shared" si="0"/>
        <v/>
      </c>
      <c r="X26" s="2" t="str">
        <f t="shared" si="0"/>
        <v/>
      </c>
      <c r="Y26" s="2" t="str">
        <f t="shared" si="0"/>
        <v/>
      </c>
      <c r="Z26" s="2" t="str">
        <f t="shared" si="0"/>
        <v/>
      </c>
      <c r="AA26" s="2" t="str">
        <f t="shared" si="0"/>
        <v/>
      </c>
      <c r="AB26" s="2" t="str">
        <f t="shared" si="0"/>
        <v/>
      </c>
      <c r="AC26" s="2" t="str">
        <f t="shared" si="0"/>
        <v/>
      </c>
      <c r="AD26" s="2" t="str">
        <f t="shared" si="0"/>
        <v/>
      </c>
      <c r="AE26" s="2" t="str">
        <f t="shared" si="0"/>
        <v/>
      </c>
      <c r="AF26" s="2" t="str">
        <f t="shared" si="0"/>
        <v/>
      </c>
      <c r="AG26" s="2" t="str">
        <f t="shared" si="0"/>
        <v/>
      </c>
      <c r="AH26" s="2" t="str">
        <f t="shared" si="0"/>
        <v/>
      </c>
      <c r="AI26" s="2" t="str">
        <f t="shared" si="0"/>
        <v/>
      </c>
      <c r="AJ26" s="2" t="str">
        <f t="shared" si="0"/>
        <v/>
      </c>
    </row>
    <row r="27" spans="2:153" s="2" customFormat="1" hidden="1" x14ac:dyDescent="0.3">
      <c r="D27" s="14" t="s">
        <v>5</v>
      </c>
      <c r="E27" s="11" t="str">
        <f>CONCATENATE(E26,F26,G26,H26,I26,J26,K26,L26,M26,N26,O26,P26,Q26,R26,S26,T26,U26,V26,W26,X26,Y26,Z26,AA26,AB26,AC26,AD26,AE26,AF26,AG26,AH26)</f>
        <v>,1 Sek</v>
      </c>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153" s="2" customFormat="1" hidden="1" x14ac:dyDescent="0.3">
      <c r="D28" s="14"/>
      <c r="E28" s="11"/>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153" s="2" customFormat="1" hidden="1" x14ac:dyDescent="0.3">
      <c r="D29" s="21" t="s">
        <v>14</v>
      </c>
      <c r="E29" s="2" t="str">
        <f>IF(OR(Analoges_Überblenden="",Analoges_Überblenden=0,Analoges_Überblenden="N",Analoges_Überblenden="n"),"",IF(Analoges_Überblenden="X","X","A"))</f>
        <v/>
      </c>
      <c r="K29" s="10"/>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153" s="2" customFormat="1" hidden="1" x14ac:dyDescent="0.3">
      <c r="D30" s="21" t="s">
        <v>6</v>
      </c>
      <c r="E30" s="11" t="str">
        <f>CONCATENATE(Analog,"PatternT",32-COUNTIF(E25:AJ25,""),"(")</f>
        <v>PatternT1(</v>
      </c>
      <c r="L30" s="10"/>
      <c r="M30" s="6"/>
      <c r="N30" s="6"/>
      <c r="O30" s="6"/>
      <c r="P30" s="6"/>
      <c r="Q30" s="6"/>
      <c r="R30" s="6"/>
      <c r="S30" s="6"/>
      <c r="T30" s="6"/>
      <c r="U30" s="6"/>
      <c r="V30" s="6"/>
      <c r="W30" s="6"/>
      <c r="X30" s="6"/>
      <c r="Y30" s="6"/>
      <c r="Z30" s="6"/>
      <c r="AA30" s="6"/>
      <c r="AB30" s="6"/>
      <c r="AC30" s="6"/>
      <c r="AD30" s="6"/>
      <c r="AE30" s="6"/>
      <c r="AF30" s="6"/>
      <c r="AG30" s="6"/>
      <c r="AH30" s="6"/>
      <c r="AI30" s="6"/>
      <c r="AJ30" s="6"/>
    </row>
    <row r="31" spans="2:153" s="2" customFormat="1" hidden="1" x14ac:dyDescent="0.3">
      <c r="D31" s="21" t="s">
        <v>29</v>
      </c>
      <c r="E31" s="11" t="str">
        <f>IF(Goto_Mode=1,"SI_LocalVar",SchalterNr)</f>
        <v>SI_1</v>
      </c>
      <c r="G31" s="26" t="s">
        <v>30</v>
      </c>
      <c r="H31" s="2" t="str">
        <f>IF(Goto_Mode=1,"",",InCh")</f>
        <v>,InCh</v>
      </c>
      <c r="I31" s="26" t="s">
        <v>31</v>
      </c>
      <c r="J31" s="11" t="str">
        <f>IF(Goto_Mode=1,"SI_LocalVar","InCh")</f>
        <v>InCh</v>
      </c>
      <c r="L31" s="26"/>
      <c r="N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21" t="s">
        <v>21</v>
      </c>
      <c r="E32" s="11">
        <f>Startkanal+(Bits_pro_Wert-1)*4+FreeBits*32</f>
        <v>128</v>
      </c>
      <c r="F32" s="2" t="str">
        <f>DEC2BIN(E32,8)</f>
        <v>10000000</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68" s="2" customFormat="1" hidden="1" x14ac:dyDescent="0.3">
      <c r="D33" s="21" t="s">
        <v>22</v>
      </c>
      <c r="E33" s="11">
        <f>(Bits_pro_Wert-1)*4+FreeBits*32</f>
        <v>128</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68" s="2" customFormat="1" hidden="1" x14ac:dyDescent="0.3">
      <c r="D34" s="21" t="s">
        <v>20</v>
      </c>
      <c r="E34" s="11" t="str">
        <f>CalculatePattern(Kanaele,E6,F46:EW300)</f>
        <v>4:,9</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68" s="2" customFormat="1" hidden="1" x14ac:dyDescent="0.3">
      <c r="D35" s="21" t="s">
        <v>19</v>
      </c>
      <c r="E35" s="11" t="str">
        <f>LEFT(Pattern_u_FreeBits,1)</f>
        <v>4</v>
      </c>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68" s="2" customFormat="1" hidden="1" x14ac:dyDescent="0.3">
      <c r="D36" s="14" t="s">
        <v>18</v>
      </c>
      <c r="E36" s="11" t="str">
        <f>MID(Pattern_u_FreeBits,3,LEN(Pattern_u_FreeBits))</f>
        <v>,9</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68" s="2" customFormat="1" hidden="1" x14ac:dyDescent="0.3">
      <c r="D37" s="14" t="s">
        <v>28</v>
      </c>
      <c r="E37" s="11" t="str">
        <f>Calculate_Goto(Kanaele,E12,F43:EW43,F46:EW300)</f>
        <v/>
      </c>
      <c r="H37" s="11"/>
      <c r="K37" s="11"/>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68" s="2" customFormat="1" hidden="1" x14ac:dyDescent="0.3">
      <c r="D38" s="14" t="s">
        <v>17</v>
      </c>
      <c r="E38" s="11" t="str">
        <f>CONCATENATE(Kanaele,",",Wert_Min,",",WertMax,",",Wert_ausgeschaltet,",",IF(Mode="","PM_NORMAL",Mode),Zeiten,Pattern_Bytes,Goto_Bytes,")")</f>
        <v>2,0,128,0,PM_NORMAL,1 Sek,9)</v>
      </c>
      <c r="K38" s="10"/>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68" ht="15.6" hidden="1" x14ac:dyDescent="0.3">
      <c r="D39" s="2" t="s">
        <v>23</v>
      </c>
      <c r="E39" s="22" t="str">
        <f>CONCATENATE("#define ",Makro_Name,"(LED,NStru,InCh)    ",Start,"LED,NStru,InCh,",Ende)</f>
        <v>#define Wechselblinker(LED,NStru,InCh)    PatternT1(LED,NStru,InCh,2,0,128,0,PM_NORMAL,1 Sek,9)</v>
      </c>
      <c r="F39" s="2"/>
      <c r="G39" s="2"/>
      <c r="H39" s="2"/>
      <c r="I39" s="2"/>
      <c r="J39" s="2"/>
      <c r="X39" s="2"/>
      <c r="Y39" s="11"/>
      <c r="Z39" s="2"/>
      <c r="AA39" s="2"/>
      <c r="AB39" s="2"/>
    </row>
    <row r="40" spans="1:168" hidden="1" x14ac:dyDescent="0.3">
      <c r="D40" s="14" t="s">
        <v>12</v>
      </c>
      <c r="E40" s="15">
        <v>11</v>
      </c>
      <c r="G40" s="14" t="s">
        <v>11</v>
      </c>
      <c r="H40" s="15">
        <f>2*(32-COUNTIF(E25:AJ25,""))</f>
        <v>2</v>
      </c>
      <c r="J40" s="14" t="s">
        <v>10</v>
      </c>
      <c r="K40" s="15">
        <f>LEN(Pattern_Bytes)-LEN(SUBSTITUTE(Pattern_Bytes,",",))</f>
        <v>1</v>
      </c>
      <c r="X40" s="2"/>
      <c r="Y40" s="11"/>
      <c r="Z40" s="2"/>
      <c r="AA40" s="2"/>
      <c r="AB40" s="2"/>
      <c r="AC40" s="14"/>
      <c r="AD40" s="15"/>
      <c r="AF40" s="14"/>
      <c r="AG40" s="15"/>
      <c r="AI40" s="14"/>
      <c r="AJ40" s="15"/>
    </row>
    <row r="41" spans="1:168" ht="12" hidden="1" customHeight="1" x14ac:dyDescent="0.3">
      <c r="D41" s="2"/>
      <c r="E41" s="11"/>
      <c r="F41" s="2"/>
      <c r="G41" s="2"/>
      <c r="H41" s="2"/>
      <c r="I41" s="2"/>
      <c r="J41" s="2"/>
      <c r="K41" s="2"/>
      <c r="L41" s="2"/>
      <c r="M41" s="2"/>
      <c r="N41" s="2"/>
      <c r="O41" s="2"/>
      <c r="P41" s="2"/>
      <c r="Q41" s="2"/>
      <c r="R41" s="2"/>
      <c r="S41" s="2"/>
      <c r="T41" s="2"/>
      <c r="U41" s="2"/>
      <c r="V41" s="2"/>
      <c r="W41" s="2"/>
      <c r="X41" s="2"/>
      <c r="Y41" s="11"/>
      <c r="Z41" s="2"/>
      <c r="AA41" s="2"/>
      <c r="AB41" s="2"/>
      <c r="AC41" s="2"/>
      <c r="AD41" s="2"/>
      <c r="AE41" s="2"/>
      <c r="AF41" s="2"/>
      <c r="AG41" s="2"/>
      <c r="AH41" s="2"/>
      <c r="AI41" s="2"/>
      <c r="AJ41" s="2"/>
    </row>
    <row r="42" spans="1:168" ht="12" customHeight="1" x14ac:dyDescent="0.3">
      <c r="D42" s="36"/>
      <c r="E42" s="89">
        <f>E40+TimerBytes+DataBytes</f>
        <v>14</v>
      </c>
      <c r="F42" s="90"/>
      <c r="G42" s="16"/>
      <c r="H42" s="16"/>
      <c r="I42" s="16"/>
      <c r="J42" s="16"/>
      <c r="K42" s="16"/>
      <c r="L42" s="16"/>
      <c r="M42" s="16"/>
      <c r="N42" s="16"/>
      <c r="O42" s="16"/>
      <c r="P42" s="16"/>
      <c r="Q42" s="16"/>
      <c r="R42" s="16"/>
      <c r="S42" s="16"/>
      <c r="T42" s="16"/>
      <c r="U42" s="16"/>
      <c r="V42" s="16"/>
      <c r="W42" s="16"/>
      <c r="X42" s="16"/>
      <c r="Y42" s="17"/>
      <c r="Z42" s="16"/>
      <c r="AA42" s="16"/>
      <c r="AB42" s="16"/>
      <c r="AC42" s="16"/>
      <c r="AD42" s="16"/>
      <c r="AE42" s="16"/>
      <c r="AF42" s="16"/>
      <c r="AG42" s="16"/>
      <c r="AH42" s="16"/>
      <c r="AI42" s="16"/>
      <c r="AJ42" s="16"/>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row>
    <row r="43" spans="1:168" s="25" customFormat="1" ht="15" hidden="1" customHeight="1" x14ac:dyDescent="0.3">
      <c r="A43"/>
      <c r="C43" s="45"/>
      <c r="D43" s="45"/>
      <c r="E43" s="42" t="s">
        <v>32</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2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27"/>
      <c r="EW43" s="27"/>
    </row>
    <row r="44" spans="1:168" ht="15" customHeight="1" x14ac:dyDescent="0.3">
      <c r="E44" s="34"/>
      <c r="F44" s="4" t="str">
        <f ca="1">IF(COUNTA(INDIRECT(CONCATENATE(CELL("adresse",F46), ":", ADDRESS(CELL("zeile", F46)+$E$5-1,153))))=0,"Bitte Tabelle ausfüllen. Positionen an denen die LEDs leuchten sollen werden mit einem Zeichen (z.B. x) markiert. Bei einer leeren Zellen ist die LED aus.","")</f>
        <v/>
      </c>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row>
    <row r="45" spans="1:168" ht="15" customHeight="1" x14ac:dyDescent="0.3">
      <c r="C45" s="5"/>
      <c r="D45" s="46" t="s">
        <v>72</v>
      </c>
      <c r="E45" s="7" t="s">
        <v>71</v>
      </c>
      <c r="F45" s="8">
        <v>1</v>
      </c>
      <c r="G45" s="8">
        <v>2</v>
      </c>
      <c r="H45" s="8">
        <v>3</v>
      </c>
      <c r="I45" s="8">
        <v>4</v>
      </c>
      <c r="J45" s="8">
        <v>5</v>
      </c>
      <c r="K45" s="8">
        <v>6</v>
      </c>
      <c r="L45" s="8">
        <v>7</v>
      </c>
      <c r="M45" s="8">
        <v>8</v>
      </c>
      <c r="N45" s="8">
        <v>9</v>
      </c>
      <c r="O45" s="8">
        <v>10</v>
      </c>
      <c r="P45" s="8">
        <v>11</v>
      </c>
      <c r="Q45" s="8">
        <v>12</v>
      </c>
      <c r="R45" s="8">
        <v>13</v>
      </c>
      <c r="S45" s="8">
        <v>14</v>
      </c>
      <c r="T45" s="8">
        <v>15</v>
      </c>
      <c r="U45" s="8">
        <v>16</v>
      </c>
      <c r="V45" s="8">
        <v>17</v>
      </c>
      <c r="W45" s="8">
        <v>18</v>
      </c>
      <c r="X45" s="8">
        <v>19</v>
      </c>
      <c r="Y45" s="8">
        <v>20</v>
      </c>
      <c r="Z45" s="8">
        <v>21</v>
      </c>
      <c r="AA45" s="8">
        <v>22</v>
      </c>
      <c r="AB45" s="8">
        <v>23</v>
      </c>
      <c r="AC45" s="8">
        <v>24</v>
      </c>
      <c r="AD45" s="8">
        <v>25</v>
      </c>
      <c r="AE45" s="8">
        <v>26</v>
      </c>
      <c r="AF45" s="8">
        <v>27</v>
      </c>
      <c r="AG45" s="8">
        <v>28</v>
      </c>
      <c r="AH45" s="8">
        <v>29</v>
      </c>
      <c r="AI45" s="8">
        <v>30</v>
      </c>
      <c r="AJ45" s="8">
        <v>31</v>
      </c>
      <c r="AK45" s="8">
        <v>32</v>
      </c>
      <c r="AL45" s="8">
        <v>33</v>
      </c>
      <c r="AM45" s="8">
        <v>34</v>
      </c>
      <c r="AN45" s="8">
        <v>35</v>
      </c>
      <c r="AO45" s="8">
        <v>36</v>
      </c>
      <c r="AP45" s="8">
        <v>37</v>
      </c>
      <c r="AQ45" s="8">
        <v>38</v>
      </c>
      <c r="AR45" s="8">
        <v>39</v>
      </c>
      <c r="AS45" s="8">
        <v>40</v>
      </c>
      <c r="AT45" s="8">
        <v>41</v>
      </c>
      <c r="AU45" s="8">
        <v>42</v>
      </c>
      <c r="AV45" s="8">
        <v>43</v>
      </c>
      <c r="AW45" s="8">
        <v>44</v>
      </c>
      <c r="AX45" s="8">
        <v>45</v>
      </c>
      <c r="AY45" s="8">
        <v>46</v>
      </c>
      <c r="AZ45" s="8">
        <v>47</v>
      </c>
      <c r="BA45" s="8">
        <v>48</v>
      </c>
      <c r="BB45" s="8">
        <v>49</v>
      </c>
      <c r="BC45" s="8">
        <v>50</v>
      </c>
      <c r="BD45" s="8">
        <v>51</v>
      </c>
      <c r="BE45" s="8">
        <v>52</v>
      </c>
      <c r="BF45" s="8">
        <v>53</v>
      </c>
      <c r="BG45" s="8">
        <v>54</v>
      </c>
      <c r="BH45" s="8">
        <v>55</v>
      </c>
      <c r="BI45" s="8">
        <v>56</v>
      </c>
    </row>
    <row r="46" spans="1:168" x14ac:dyDescent="0.3">
      <c r="C46" s="31"/>
      <c r="D46" s="30">
        <v>1</v>
      </c>
      <c r="E46" s="43" t="s">
        <v>26</v>
      </c>
      <c r="F46" s="43" t="s">
        <v>344</v>
      </c>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19"/>
      <c r="EY46" s="19"/>
      <c r="EZ46" s="19"/>
      <c r="FA46" s="19"/>
      <c r="FB46" s="19"/>
      <c r="FC46" s="19"/>
      <c r="FD46" s="19"/>
      <c r="FE46" s="19"/>
      <c r="FF46" s="19"/>
      <c r="FG46" s="19"/>
      <c r="FH46" s="19"/>
      <c r="FI46" s="19"/>
      <c r="FJ46" s="19"/>
      <c r="FK46" s="19"/>
      <c r="FL46" s="19"/>
    </row>
    <row r="47" spans="1:168" x14ac:dyDescent="0.3">
      <c r="C47" s="31"/>
      <c r="D47" s="30">
        <v>2</v>
      </c>
      <c r="E47" s="43" t="s">
        <v>27</v>
      </c>
      <c r="F47" s="43"/>
      <c r="G47" s="43" t="s">
        <v>344</v>
      </c>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19"/>
      <c r="EY47" s="19"/>
      <c r="EZ47" s="19"/>
      <c r="FA47" s="19"/>
      <c r="FB47" s="19"/>
      <c r="FC47" s="19"/>
      <c r="FD47" s="19"/>
      <c r="FE47" s="19"/>
      <c r="FF47" s="19"/>
      <c r="FG47" s="19"/>
      <c r="FH47" s="19"/>
      <c r="FI47" s="19"/>
      <c r="FJ47" s="19"/>
      <c r="FK47" s="19"/>
      <c r="FL47" s="19"/>
    </row>
    <row r="48" spans="1:168" x14ac:dyDescent="0.3">
      <c r="C48" s="31"/>
      <c r="D48" s="30">
        <v>3</v>
      </c>
      <c r="E48" s="28"/>
      <c r="F48" s="43"/>
      <c r="G48" s="43"/>
      <c r="H48" s="43"/>
      <c r="I48" s="43"/>
      <c r="J48" s="43"/>
      <c r="K48" s="43"/>
      <c r="L48" s="43"/>
      <c r="M48" s="43"/>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19"/>
      <c r="EY48" s="19"/>
      <c r="EZ48" s="19"/>
      <c r="FA48" s="19"/>
      <c r="FB48" s="19"/>
      <c r="FC48" s="19"/>
      <c r="FD48" s="19"/>
      <c r="FE48" s="19"/>
      <c r="FF48" s="19"/>
      <c r="FG48" s="19"/>
      <c r="FH48" s="19"/>
      <c r="FI48" s="19"/>
      <c r="FJ48" s="19"/>
      <c r="FK48" s="19"/>
      <c r="FL48" s="19"/>
    </row>
    <row r="49" spans="3:168" x14ac:dyDescent="0.3">
      <c r="C49" s="31"/>
      <c r="D49" s="30">
        <v>4</v>
      </c>
      <c r="E49" s="28"/>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c r="CW49" s="29"/>
      <c r="CX49" s="29"/>
      <c r="CY49" s="29"/>
      <c r="CZ49" s="29"/>
      <c r="DA49" s="29"/>
      <c r="DB49" s="29"/>
      <c r="DC49" s="29"/>
      <c r="DD49" s="29"/>
      <c r="DE49" s="29"/>
      <c r="DF49" s="29"/>
      <c r="DG49" s="29"/>
      <c r="DH49" s="29"/>
      <c r="DI49" s="29"/>
      <c r="DJ49" s="29"/>
      <c r="DK49" s="29"/>
      <c r="DL49" s="29"/>
      <c r="DM49" s="29"/>
      <c r="DN49" s="29"/>
      <c r="DO49" s="29"/>
      <c r="DP49" s="29"/>
      <c r="DQ49" s="29"/>
      <c r="DR49" s="29"/>
      <c r="DS49" s="29"/>
      <c r="DT49" s="29"/>
      <c r="DU49" s="29"/>
      <c r="DV49" s="29"/>
      <c r="DW49" s="29"/>
      <c r="DX49" s="29"/>
      <c r="DY49" s="29"/>
      <c r="DZ49" s="29"/>
      <c r="EA49" s="29"/>
      <c r="EB49" s="29"/>
      <c r="EC49" s="29"/>
      <c r="ED49" s="29"/>
      <c r="EE49" s="29"/>
      <c r="EF49" s="29"/>
      <c r="EG49" s="29"/>
      <c r="EH49" s="29"/>
      <c r="EI49" s="29"/>
      <c r="EJ49" s="29"/>
      <c r="EK49" s="29"/>
      <c r="EL49" s="29"/>
      <c r="EM49" s="29"/>
      <c r="EN49" s="29"/>
      <c r="EO49" s="29"/>
      <c r="EP49" s="29"/>
      <c r="EQ49" s="29"/>
      <c r="ER49" s="29"/>
      <c r="ES49" s="29"/>
      <c r="ET49" s="29"/>
      <c r="EU49" s="29"/>
      <c r="EV49" s="29"/>
      <c r="EW49" s="29"/>
      <c r="EX49" s="19"/>
      <c r="EY49" s="19"/>
      <c r="EZ49" s="19"/>
      <c r="FA49" s="19"/>
      <c r="FB49" s="19"/>
      <c r="FC49" s="19"/>
      <c r="FD49" s="19"/>
      <c r="FE49" s="19"/>
      <c r="FF49" s="19"/>
      <c r="FG49" s="19"/>
      <c r="FH49" s="19"/>
      <c r="FI49" s="19"/>
      <c r="FJ49" s="19"/>
      <c r="FK49" s="19"/>
      <c r="FL49" s="19"/>
    </row>
    <row r="50" spans="3:168" x14ac:dyDescent="0.3">
      <c r="C50" s="31"/>
      <c r="D50" s="30">
        <v>5</v>
      </c>
      <c r="E50" s="28"/>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c r="CN50" s="29"/>
      <c r="CO50" s="29"/>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c r="DU50" s="29"/>
      <c r="DV50" s="29"/>
      <c r="DW50" s="29"/>
      <c r="DX50" s="29"/>
      <c r="DY50" s="29"/>
      <c r="DZ50" s="29"/>
      <c r="EA50" s="29"/>
      <c r="EB50" s="29"/>
      <c r="EC50" s="29"/>
      <c r="ED50" s="29"/>
      <c r="EE50" s="29"/>
      <c r="EF50" s="29"/>
      <c r="EG50" s="29"/>
      <c r="EH50" s="29"/>
      <c r="EI50" s="29"/>
      <c r="EJ50" s="29"/>
      <c r="EK50" s="29"/>
      <c r="EL50" s="29"/>
      <c r="EM50" s="29"/>
      <c r="EN50" s="29"/>
      <c r="EO50" s="29"/>
      <c r="EP50" s="29"/>
      <c r="EQ50" s="29"/>
      <c r="ER50" s="29"/>
      <c r="ES50" s="29"/>
      <c r="ET50" s="29"/>
      <c r="EU50" s="29"/>
      <c r="EV50" s="29"/>
      <c r="EW50" s="29"/>
      <c r="EX50" s="19"/>
      <c r="EY50" s="19"/>
      <c r="EZ50" s="19"/>
      <c r="FA50" s="19"/>
      <c r="FB50" s="19"/>
      <c r="FC50" s="19"/>
      <c r="FD50" s="19"/>
      <c r="FE50" s="19"/>
      <c r="FF50" s="19"/>
      <c r="FG50" s="19"/>
      <c r="FH50" s="19"/>
      <c r="FI50" s="19"/>
      <c r="FJ50" s="19"/>
      <c r="FK50" s="19"/>
      <c r="FL50" s="19"/>
    </row>
    <row r="51" spans="3:168" x14ac:dyDescent="0.3">
      <c r="C51" s="31"/>
      <c r="D51" s="30">
        <v>6</v>
      </c>
      <c r="E51" s="28"/>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c r="CI51" s="29"/>
      <c r="CJ51" s="29"/>
      <c r="CK51" s="29"/>
      <c r="CL51" s="29"/>
      <c r="CM51" s="29"/>
      <c r="CN51" s="29"/>
      <c r="CO51" s="29"/>
      <c r="CP51" s="29"/>
      <c r="CQ51" s="29"/>
      <c r="CR51" s="29"/>
      <c r="CS51" s="29"/>
      <c r="CT51" s="29"/>
      <c r="CU51" s="29"/>
      <c r="CV51" s="29"/>
      <c r="CW51" s="29"/>
      <c r="CX51" s="29"/>
      <c r="CY51" s="29"/>
      <c r="CZ51" s="29"/>
      <c r="DA51" s="29"/>
      <c r="DB51" s="29"/>
      <c r="DC51" s="29"/>
      <c r="DD51" s="29"/>
      <c r="DE51" s="29"/>
      <c r="DF51" s="29"/>
      <c r="DG51" s="29"/>
      <c r="DH51" s="29"/>
      <c r="DI51" s="29"/>
      <c r="DJ51" s="29"/>
      <c r="DK51" s="29"/>
      <c r="DL51" s="29"/>
      <c r="DM51" s="29"/>
      <c r="DN51" s="29"/>
      <c r="DO51" s="29"/>
      <c r="DP51" s="29"/>
      <c r="DQ51" s="29"/>
      <c r="DR51" s="29"/>
      <c r="DS51" s="29"/>
      <c r="DT51" s="29"/>
      <c r="DU51" s="29"/>
      <c r="DV51" s="29"/>
      <c r="DW51" s="29"/>
      <c r="DX51" s="29"/>
      <c r="DY51" s="29"/>
      <c r="DZ51" s="29"/>
      <c r="EA51" s="29"/>
      <c r="EB51" s="29"/>
      <c r="EC51" s="29"/>
      <c r="ED51" s="29"/>
      <c r="EE51" s="29"/>
      <c r="EF51" s="29"/>
      <c r="EG51" s="29"/>
      <c r="EH51" s="29"/>
      <c r="EI51" s="29"/>
      <c r="EJ51" s="29"/>
      <c r="EK51" s="29"/>
      <c r="EL51" s="29"/>
      <c r="EM51" s="29"/>
      <c r="EN51" s="29"/>
      <c r="EO51" s="29"/>
      <c r="EP51" s="29"/>
      <c r="EQ51" s="29"/>
      <c r="ER51" s="29"/>
      <c r="ES51" s="29"/>
      <c r="ET51" s="29"/>
      <c r="EU51" s="29"/>
      <c r="EV51" s="29"/>
      <c r="EW51" s="29"/>
      <c r="EX51" s="19"/>
      <c r="EY51" s="19"/>
      <c r="EZ51" s="19"/>
      <c r="FA51" s="19"/>
      <c r="FB51" s="19"/>
      <c r="FC51" s="19"/>
      <c r="FD51" s="19"/>
      <c r="FE51" s="19"/>
      <c r="FF51" s="19"/>
      <c r="FG51" s="19"/>
      <c r="FH51" s="19"/>
      <c r="FI51" s="19"/>
      <c r="FJ51" s="19"/>
      <c r="FK51" s="19"/>
      <c r="FL51" s="19"/>
    </row>
    <row r="52" spans="3:168" x14ac:dyDescent="0.3">
      <c r="C52" s="31"/>
      <c r="D52" s="30">
        <v>7</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19"/>
      <c r="EY52" s="19"/>
      <c r="EZ52" s="19"/>
      <c r="FA52" s="19"/>
      <c r="FB52" s="19"/>
      <c r="FC52" s="19"/>
      <c r="FD52" s="19"/>
      <c r="FE52" s="19"/>
      <c r="FF52" s="19"/>
      <c r="FG52" s="19"/>
      <c r="FH52" s="19"/>
      <c r="FI52" s="19"/>
      <c r="FJ52" s="19"/>
      <c r="FK52" s="19"/>
      <c r="FL52" s="19"/>
    </row>
    <row r="53" spans="3:168" x14ac:dyDescent="0.3">
      <c r="C53" s="31"/>
      <c r="D53" s="30">
        <v>8</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9</v>
      </c>
      <c r="E54" s="28"/>
      <c r="F54" s="3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10</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11</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12</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13</v>
      </c>
      <c r="E58" s="28"/>
      <c r="F58" s="43"/>
      <c r="G58" s="43"/>
      <c r="H58" s="43"/>
      <c r="I58" s="43"/>
      <c r="J58" s="43"/>
      <c r="K58" s="43"/>
      <c r="L58" s="43"/>
      <c r="M58" s="43"/>
      <c r="N58" s="43"/>
      <c r="O58" s="43"/>
      <c r="P58" s="43"/>
      <c r="Q58" s="43"/>
      <c r="R58" s="43"/>
      <c r="S58" s="43"/>
      <c r="T58" s="43"/>
      <c r="U58" s="43"/>
      <c r="V58" s="43"/>
      <c r="W58" s="43"/>
      <c r="X58" s="43"/>
      <c r="Y58" s="43"/>
      <c r="Z58" s="43"/>
      <c r="AA58" s="29"/>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14</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15</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16</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17</v>
      </c>
      <c r="E62" s="28"/>
      <c r="F62" s="43"/>
      <c r="G62" s="43"/>
      <c r="H62" s="43"/>
      <c r="I62" s="43"/>
      <c r="J62" s="43"/>
      <c r="K62" s="43"/>
      <c r="L62" s="43"/>
      <c r="M62" s="43"/>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18</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19</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20</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21</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22</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23</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24</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25</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26</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27</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28</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29</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30</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31</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32</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33</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34</v>
      </c>
      <c r="E79" s="28"/>
      <c r="F79" s="43"/>
      <c r="G79" s="43"/>
      <c r="H79" s="43"/>
      <c r="I79" s="43"/>
      <c r="J79" s="43"/>
      <c r="K79" s="44"/>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35</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36</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37</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38</v>
      </c>
      <c r="E83" s="28"/>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39</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40</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2"/>
      <c r="D86" s="30">
        <v>41</v>
      </c>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2"/>
      <c r="D87" s="30">
        <v>42</v>
      </c>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2"/>
      <c r="D88" s="30">
        <v>43</v>
      </c>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2"/>
      <c r="D89" s="30">
        <v>44</v>
      </c>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row>
    <row r="90" spans="3:168" x14ac:dyDescent="0.3">
      <c r="C90" s="32"/>
      <c r="D90" s="30">
        <v>45</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row>
    <row r="91" spans="3:168" x14ac:dyDescent="0.3">
      <c r="C91" s="32"/>
      <c r="D91" s="30">
        <v>46</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row>
    <row r="92" spans="3:168" x14ac:dyDescent="0.3">
      <c r="C92" s="32"/>
      <c r="D92" s="30">
        <v>47</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row>
    <row r="93" spans="3:168" x14ac:dyDescent="0.3">
      <c r="C93" s="32"/>
      <c r="D93" s="30">
        <v>48</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49</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50</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51</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52</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53</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54</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55</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56</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57</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58</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59</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60</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61</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62</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63</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64</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65</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66</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67</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68</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69</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70</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71</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72</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73</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74</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75</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76</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77</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78</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79</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80</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81</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82</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83</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84</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85</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86</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87</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88</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89</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90</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91</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92</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93</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94</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95</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96</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97</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98</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99</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100</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2"/>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2"/>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2"/>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2"/>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row>
    <row r="302" spans="3:153" x14ac:dyDescent="0.3">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sheetData>
  <sheetProtection formatCells="0" insertHyperlinks="0"/>
  <protectedRanges>
    <protectedRange sqref="F24:AJ24 F26:EW300 AK24:EW25" name="Bereich5"/>
    <protectedRange sqref="C1" name="Bereich4"/>
    <protectedRange sqref="E46:EW300" name="Bereich1"/>
    <protectedRange sqref="E2:E14" name="Bereich2"/>
    <protectedRange sqref="E18" name="Bereich3"/>
    <protectedRange sqref="F43:EW43" name="Bereich6"/>
  </protectedRanges>
  <dataConsolidate/>
  <conditionalFormatting sqref="D46:D155">
    <cfRule type="expression" dxfId="3" priority="13">
      <formula>$E$5&gt;=ROW(D46)-ROW($D$45)</formula>
    </cfRule>
  </conditionalFormatting>
  <conditionalFormatting sqref="E42">
    <cfRule type="expression" dxfId="2" priority="4">
      <formula>$E$42&gt;2000</formula>
    </cfRule>
  </conditionalFormatting>
  <conditionalFormatting sqref="F24:EW24">
    <cfRule type="expression" dxfId="1" priority="2">
      <formula>Ist_Formel(F24)</formula>
    </cfRule>
  </conditionalFormatting>
  <conditionalFormatting sqref="L79:BI79 AB58:BI58 E80:BI155 E79:J79 E59:BI78 C46:D155 E58:Z58 E46:BI57 F46:EW48">
    <cfRule type="expression" dxfId="0" priority="14">
      <formula>$E$5&gt;=ROW(C46)-ROW($D$45)</formula>
    </cfRule>
  </conditionalFormatting>
  <dataValidations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18</xdr:row>
                <xdr:rowOff>30480</xdr:rowOff>
              </from>
              <to>
                <xdr:col>1</xdr:col>
                <xdr:colOff>594360</xdr:colOff>
                <xdr:row>41</xdr:row>
                <xdr:rowOff>121920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44</xdr:row>
                <xdr:rowOff>0</xdr:rowOff>
              </from>
              <to>
                <xdr:col>1</xdr:col>
                <xdr:colOff>594360</xdr:colOff>
                <xdr:row>49</xdr:row>
                <xdr:rowOff>30480</xdr:rowOff>
              </to>
            </anchor>
          </controlPr>
        </control>
      </mc:Choice>
      <mc:Fallback>
        <control shapeId="8212" r:id="rId6" name="Prog_Generator_Button"/>
      </mc:Fallback>
    </mc:AlternateContent>
    <mc:AlternateContent xmlns:mc="http://schemas.openxmlformats.org/markup-compatibility/2006">
      <mc:Choice Requires="x14">
        <control shapeId="8205" r:id="rId8" name="Button 1">
          <controlPr defaultSize="0" print="0" autoFill="0" autoPict="0" macro="[0]!Update_Grafik">
            <anchor>
              <from>
                <xdr:col>5</xdr:col>
                <xdr:colOff>76200</xdr:colOff>
                <xdr:row>13</xdr:row>
                <xdr:rowOff>0</xdr:rowOff>
              </from>
              <to>
                <xdr:col>7</xdr:col>
                <xdr:colOff>30480</xdr:colOff>
                <xdr:row>14</xdr:row>
                <xdr:rowOff>30480</xdr:rowOff>
              </to>
            </anchor>
          </controlPr>
        </control>
      </mc:Choice>
    </mc:AlternateContent>
    <mc:AlternateContent xmlns:mc="http://schemas.openxmlformats.org/markup-compatibility/2006">
      <mc:Choice Requires="x14">
        <control shapeId="8207" r:id="rId9" name="Button 2">
          <controlPr defaultSize="0" print="0" autoFill="0" autoPict="0" macro="[0]!New_Sheet">
            <anchor>
              <from>
                <xdr:col>5</xdr:col>
                <xdr:colOff>76200</xdr:colOff>
                <xdr:row>0</xdr:row>
                <xdr:rowOff>38100</xdr:rowOff>
              </from>
              <to>
                <xdr:col>7</xdr:col>
                <xdr:colOff>30480</xdr:colOff>
                <xdr:row>0</xdr:row>
                <xdr:rowOff>259080</xdr:rowOff>
              </to>
            </anchor>
          </controlPr>
        </control>
      </mc:Choice>
    </mc:AlternateContent>
    <mc:AlternateContent xmlns:mc="http://schemas.openxmlformats.org/markup-compatibility/2006">
      <mc:Choice Requires="x14">
        <control shapeId="8214" r:id="rId10" name="Del_Col_Button">
          <controlPr defaultSize="0" print="0" autoFill="0" autoPict="0" macro="[0]!Del_Columns_from_Pattern" altText="Add_Del_Button">
            <anchor moveWithCells="1">
              <from>
                <xdr:col>4</xdr:col>
                <xdr:colOff>236220</xdr:colOff>
                <xdr:row>41</xdr:row>
                <xdr:rowOff>152400</xdr:rowOff>
              </from>
              <to>
                <xdr:col>4</xdr:col>
                <xdr:colOff>403860</xdr:colOff>
                <xdr:row>43</xdr:row>
                <xdr:rowOff>167640</xdr:rowOff>
              </to>
            </anchor>
          </controlPr>
        </control>
      </mc:Choice>
    </mc:AlternateContent>
    <mc:AlternateContent xmlns:mc="http://schemas.openxmlformats.org/markup-compatibility/2006">
      <mc:Choice Requires="x14">
        <control shapeId="8215" r:id="rId11" name="Add_Col_Button">
          <controlPr defaultSize="0" print="0" autoFill="0" autoPict="0" macro="[0]!Add_Columns_to_Pattern" altText="Add_Del_Button">
            <anchor moveWithCells="1">
              <from>
                <xdr:col>4</xdr:col>
                <xdr:colOff>22860</xdr:colOff>
                <xdr:row>41</xdr:row>
                <xdr:rowOff>152400</xdr:rowOff>
              </from>
              <to>
                <xdr:col>4</xdr:col>
                <xdr:colOff>182880</xdr:colOff>
                <xdr:row>43</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3"/>
  <dimension ref="A1:F8"/>
  <sheetViews>
    <sheetView workbookViewId="0">
      <pane ySplit="3" topLeftCell="A4" activePane="bottomLeft" state="frozen"/>
      <selection pane="bottomLeft" activeCell="C4" sqref="C4"/>
    </sheetView>
  </sheetViews>
  <sheetFormatPr baseColWidth="10" defaultColWidth="11.5546875" defaultRowHeight="13.2" x14ac:dyDescent="0.25"/>
  <cols>
    <col min="1" max="1" width="3.33203125" style="66" bestFit="1" customWidth="1"/>
    <col min="2" max="2" width="7.109375" style="66" bestFit="1" customWidth="1"/>
    <col min="3" max="3" width="31.6640625"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312</v>
      </c>
      <c r="B1" s="65"/>
      <c r="D1" s="65"/>
      <c r="F1" s="67">
        <v>43686</v>
      </c>
    </row>
    <row r="2" spans="1:6" ht="6.6" customHeight="1" x14ac:dyDescent="0.25"/>
    <row r="3" spans="1:6" ht="41.25" customHeight="1" x14ac:dyDescent="0.25">
      <c r="A3" s="69" t="s">
        <v>305</v>
      </c>
      <c r="B3" s="68" t="s">
        <v>347</v>
      </c>
      <c r="C3" s="68" t="s">
        <v>306</v>
      </c>
      <c r="D3" s="68" t="s">
        <v>84</v>
      </c>
      <c r="E3" s="68" t="s">
        <v>307</v>
      </c>
      <c r="F3" s="68" t="s">
        <v>308</v>
      </c>
    </row>
    <row r="4" spans="1:6" ht="28.8" x14ac:dyDescent="0.3">
      <c r="A4" s="70"/>
      <c r="B4" s="70">
        <v>8</v>
      </c>
      <c r="C4" s="71" t="s">
        <v>304</v>
      </c>
      <c r="D4" s="71" t="str">
        <f>C4</f>
        <v>N_Buttons</v>
      </c>
      <c r="E4" s="75" t="s">
        <v>316</v>
      </c>
      <c r="F4" s="76" t="s">
        <v>314</v>
      </c>
    </row>
    <row r="5" spans="1:6" ht="26.4" x14ac:dyDescent="0.25">
      <c r="A5" s="70"/>
      <c r="B5" s="70">
        <v>256</v>
      </c>
      <c r="C5" s="71" t="s">
        <v>309</v>
      </c>
      <c r="D5" s="71" t="str">
        <f>C5</f>
        <v>Binary</v>
      </c>
      <c r="E5" s="74" t="s">
        <v>313</v>
      </c>
      <c r="F5" s="73" t="s">
        <v>315</v>
      </c>
    </row>
    <row r="6" spans="1:6" ht="39.6" x14ac:dyDescent="0.25">
      <c r="A6" s="70"/>
      <c r="B6" s="70">
        <v>256</v>
      </c>
      <c r="C6" s="71" t="s">
        <v>310</v>
      </c>
      <c r="D6" s="71" t="str">
        <f t="shared" ref="D6:D8" si="0">IF(C6&lt;&gt;"",LEFT(C6,FIND("(",C6)-1),"")</f>
        <v>Counter</v>
      </c>
      <c r="E6" s="74" t="s">
        <v>317</v>
      </c>
      <c r="F6" s="73" t="s">
        <v>318</v>
      </c>
    </row>
    <row r="7" spans="1:6" ht="26.4" x14ac:dyDescent="0.25">
      <c r="A7" s="70"/>
      <c r="B7" s="70">
        <v>256</v>
      </c>
      <c r="C7" s="71" t="s">
        <v>343</v>
      </c>
      <c r="D7" s="71" t="str">
        <f t="shared" si="0"/>
        <v>RandButton</v>
      </c>
      <c r="E7" s="74" t="s">
        <v>320</v>
      </c>
      <c r="F7" s="73" t="s">
        <v>321</v>
      </c>
    </row>
    <row r="8" spans="1:6" x14ac:dyDescent="0.25">
      <c r="A8" s="70"/>
      <c r="B8" s="70">
        <v>256</v>
      </c>
      <c r="C8" s="71" t="s">
        <v>311</v>
      </c>
      <c r="D8" s="71" t="str">
        <f t="shared" si="0"/>
        <v>RandomTime</v>
      </c>
      <c r="E8" s="74" t="s">
        <v>319</v>
      </c>
      <c r="F8" s="72" t="s">
        <v>322</v>
      </c>
    </row>
  </sheetData>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66"/>
    <col min="2" max="2" width="5.88671875" style="66" customWidth="1"/>
    <col min="3" max="3" width="6.6640625" style="66" customWidth="1"/>
    <col min="4" max="4" width="5" style="66" customWidth="1"/>
    <col min="5" max="6" width="9.109375" style="66" customWidth="1"/>
    <col min="7" max="7" width="32.44140625" style="66" customWidth="1"/>
    <col min="8" max="8" width="45.33203125" style="66" customWidth="1"/>
    <col min="9" max="9" width="40" style="66" customWidth="1"/>
    <col min="10" max="16384" width="11.44140625" style="66"/>
  </cols>
  <sheetData>
    <row r="1" spans="1:9" ht="31.2" customHeight="1" x14ac:dyDescent="0.25">
      <c r="A1" s="77" t="s">
        <v>323</v>
      </c>
      <c r="B1" s="77" t="s">
        <v>324</v>
      </c>
      <c r="C1" s="77" t="s">
        <v>54</v>
      </c>
      <c r="D1" s="77" t="s">
        <v>325</v>
      </c>
      <c r="E1" s="77" t="s">
        <v>326</v>
      </c>
      <c r="F1" s="77" t="s">
        <v>327</v>
      </c>
      <c r="G1" s="78" t="s">
        <v>328</v>
      </c>
      <c r="H1" s="78" t="s">
        <v>329</v>
      </c>
      <c r="I1" s="78" t="s">
        <v>330</v>
      </c>
    </row>
    <row r="2" spans="1:9" x14ac:dyDescent="0.25">
      <c r="A2" s="83" t="s">
        <v>334</v>
      </c>
      <c r="B2" s="83"/>
      <c r="C2" s="83" t="s">
        <v>331</v>
      </c>
      <c r="D2" s="83">
        <v>1</v>
      </c>
      <c r="E2" s="83">
        <v>1048560</v>
      </c>
      <c r="F2" s="83" t="s">
        <v>335</v>
      </c>
      <c r="G2" s="83" t="s">
        <v>332</v>
      </c>
      <c r="H2" s="86" t="s">
        <v>333</v>
      </c>
      <c r="I2" s="83"/>
    </row>
    <row r="3" spans="1:9" x14ac:dyDescent="0.25">
      <c r="A3" s="83" t="s">
        <v>341</v>
      </c>
      <c r="B3" s="83"/>
      <c r="C3" s="83"/>
      <c r="D3" s="83"/>
      <c r="E3" s="83"/>
      <c r="F3" s="83">
        <v>0</v>
      </c>
      <c r="G3" s="83" t="s">
        <v>342</v>
      </c>
      <c r="H3" s="81"/>
    </row>
    <row r="4" spans="1:9" x14ac:dyDescent="0.25">
      <c r="A4" s="83" t="s">
        <v>336</v>
      </c>
      <c r="B4" s="83"/>
      <c r="C4" s="83" t="s">
        <v>331</v>
      </c>
      <c r="D4" s="83">
        <v>0</v>
      </c>
      <c r="E4" s="83">
        <v>1048560</v>
      </c>
      <c r="F4" s="83" t="s">
        <v>293</v>
      </c>
      <c r="G4" s="83" t="s">
        <v>337</v>
      </c>
      <c r="H4" s="84" t="str">
        <f>H2</f>
        <v xml:space="preserve">Die Zeit wird in Millisekunden angegeben. Es können aber auch „Sec“ oder „Min“ angehängt werden. Die Maximale Zeit beträgt 17 Minuten (1048560 ms). </v>
      </c>
      <c r="I4" s="85"/>
    </row>
    <row r="5" spans="1:9" x14ac:dyDescent="0.25">
      <c r="A5" s="83" t="s">
        <v>338</v>
      </c>
      <c r="B5" s="83"/>
      <c r="C5" s="83" t="s">
        <v>331</v>
      </c>
      <c r="D5" s="83">
        <v>0</v>
      </c>
      <c r="E5" s="83">
        <v>1048560</v>
      </c>
      <c r="F5" s="83" t="s">
        <v>339</v>
      </c>
      <c r="G5" s="83" t="s">
        <v>340</v>
      </c>
      <c r="H5" s="82" t="str">
        <f>H2</f>
        <v xml:space="preserve">Die Zeit wird in Millisekunden angegeben. Es können aber auch „Sec“ oder „Min“ angehängt werden. Die Maximale Zeit beträgt 17 Minuten (1048560 ms). </v>
      </c>
    </row>
    <row r="6" spans="1:9" x14ac:dyDescent="0.25">
      <c r="B6" s="79"/>
      <c r="C6" s="79"/>
      <c r="D6" s="79"/>
      <c r="E6" s="79"/>
      <c r="F6" s="79"/>
      <c r="G6" s="81"/>
      <c r="H6" s="82"/>
      <c r="I6" s="83"/>
    </row>
    <row r="7" spans="1:9" x14ac:dyDescent="0.25">
      <c r="B7" s="79"/>
      <c r="C7" s="79"/>
      <c r="D7" s="79"/>
      <c r="E7" s="79"/>
      <c r="F7" s="79"/>
      <c r="G7" s="81"/>
      <c r="H7" s="82"/>
      <c r="I7" s="83"/>
    </row>
    <row r="8" spans="1:9" x14ac:dyDescent="0.25">
      <c r="B8" s="79"/>
      <c r="C8" s="79"/>
      <c r="D8" s="79"/>
      <c r="E8" s="79"/>
      <c r="F8" s="79"/>
      <c r="G8" s="82"/>
      <c r="H8" s="82"/>
    </row>
    <row r="9" spans="1:9" x14ac:dyDescent="0.25">
      <c r="A9" s="83"/>
      <c r="B9" s="79"/>
      <c r="C9" s="80"/>
      <c r="D9" s="80"/>
      <c r="E9" s="80"/>
      <c r="F9" s="80"/>
      <c r="G9" s="81"/>
      <c r="H9" s="81"/>
      <c r="I9" s="83"/>
    </row>
    <row r="10" spans="1:9" x14ac:dyDescent="0.25">
      <c r="B10" s="79"/>
      <c r="C10" s="79"/>
      <c r="D10" s="79"/>
      <c r="E10" s="79"/>
      <c r="F10" s="79"/>
      <c r="G10" s="82"/>
      <c r="H10" s="82"/>
    </row>
    <row r="11" spans="1:9" x14ac:dyDescent="0.25">
      <c r="B11" s="79"/>
      <c r="C11" s="80"/>
      <c r="D11" s="79"/>
      <c r="E11" s="80"/>
      <c r="F11" s="80"/>
      <c r="G11" s="81"/>
      <c r="H11" s="84"/>
      <c r="I11" s="85"/>
    </row>
    <row r="12" spans="1:9" x14ac:dyDescent="0.25">
      <c r="B12" s="79"/>
      <c r="C12" s="80"/>
      <c r="D12" s="79"/>
      <c r="E12" s="80"/>
      <c r="F12" s="80"/>
      <c r="G12" s="81"/>
      <c r="H12" s="84"/>
      <c r="I12" s="85"/>
    </row>
    <row r="13" spans="1:9" x14ac:dyDescent="0.25">
      <c r="B13" s="79"/>
      <c r="C13" s="79"/>
      <c r="D13" s="79"/>
      <c r="E13" s="79"/>
      <c r="F13" s="79"/>
      <c r="G13" s="81"/>
      <c r="H13" s="81"/>
    </row>
    <row r="14" spans="1:9" x14ac:dyDescent="0.25">
      <c r="B14" s="79"/>
      <c r="C14" s="80"/>
      <c r="D14" s="79"/>
      <c r="E14" s="80"/>
      <c r="F14" s="80"/>
      <c r="G14" s="81"/>
      <c r="H14" s="84"/>
    </row>
    <row r="15" spans="1:9" x14ac:dyDescent="0.25">
      <c r="B15" s="79"/>
      <c r="C15" s="80"/>
      <c r="D15" s="79"/>
      <c r="E15" s="80"/>
      <c r="F15" s="80"/>
      <c r="G15" s="81"/>
      <c r="H15" s="84"/>
    </row>
    <row r="16" spans="1:9" x14ac:dyDescent="0.25">
      <c r="B16" s="79"/>
      <c r="C16" s="79"/>
      <c r="D16" s="79"/>
      <c r="E16" s="79"/>
      <c r="F16" s="79"/>
      <c r="G16" s="82"/>
      <c r="H16" s="82"/>
    </row>
    <row r="17" spans="1:9" x14ac:dyDescent="0.25">
      <c r="B17" s="79"/>
      <c r="C17" s="79"/>
      <c r="D17" s="79"/>
      <c r="E17" s="79"/>
      <c r="F17" s="79"/>
      <c r="G17" s="82"/>
      <c r="H17" s="82"/>
      <c r="I17" s="83"/>
    </row>
    <row r="18" spans="1:9" x14ac:dyDescent="0.25">
      <c r="B18" s="79"/>
      <c r="C18" s="79"/>
      <c r="D18" s="79"/>
      <c r="E18" s="79"/>
      <c r="F18" s="79"/>
      <c r="G18" s="82"/>
      <c r="H18" s="82"/>
    </row>
    <row r="19" spans="1:9" x14ac:dyDescent="0.25">
      <c r="B19" s="79"/>
      <c r="C19" s="79"/>
      <c r="D19" s="79"/>
      <c r="E19" s="79"/>
      <c r="F19" s="79"/>
      <c r="G19" s="81"/>
      <c r="H19" s="81"/>
    </row>
    <row r="20" spans="1:9" x14ac:dyDescent="0.25">
      <c r="A20" s="83"/>
      <c r="B20" s="79"/>
      <c r="C20" s="79"/>
      <c r="D20" s="79"/>
      <c r="E20" s="79"/>
      <c r="F20" s="79"/>
      <c r="G20" s="81"/>
      <c r="H20" s="81"/>
    </row>
    <row r="21" spans="1:9" x14ac:dyDescent="0.25">
      <c r="A21" s="83"/>
      <c r="B21" s="79"/>
      <c r="C21" s="79"/>
      <c r="D21" s="79"/>
      <c r="E21" s="79"/>
      <c r="F21" s="79"/>
      <c r="G21" s="81"/>
      <c r="H21" s="81"/>
    </row>
    <row r="22" spans="1:9" x14ac:dyDescent="0.25">
      <c r="B22" s="79"/>
      <c r="C22" s="79"/>
      <c r="D22" s="79"/>
      <c r="E22" s="79"/>
      <c r="F22" s="79"/>
      <c r="G22" s="81"/>
      <c r="H22" s="81"/>
    </row>
    <row r="23" spans="1:9" x14ac:dyDescent="0.25">
      <c r="B23" s="79"/>
      <c r="C23" s="79"/>
      <c r="D23" s="79"/>
      <c r="E23" s="79"/>
      <c r="F23" s="79"/>
      <c r="G23" s="81"/>
      <c r="H23" s="82"/>
    </row>
    <row r="24" spans="1:9" x14ac:dyDescent="0.25">
      <c r="B24" s="79"/>
      <c r="C24" s="79"/>
      <c r="D24" s="79"/>
      <c r="E24" s="79"/>
      <c r="F24" s="79"/>
      <c r="G24" s="81"/>
      <c r="H24" s="81"/>
    </row>
    <row r="25" spans="1:9" x14ac:dyDescent="0.25">
      <c r="B25" s="79"/>
      <c r="C25" s="79"/>
      <c r="D25" s="79"/>
      <c r="E25" s="79"/>
      <c r="F25" s="79"/>
      <c r="G25" s="81"/>
      <c r="H25" s="82"/>
    </row>
    <row r="26" spans="1:9" x14ac:dyDescent="0.25">
      <c r="B26" s="79"/>
      <c r="C26" s="79"/>
      <c r="D26" s="79"/>
      <c r="E26" s="79"/>
      <c r="F26" s="79"/>
      <c r="G26" s="81"/>
      <c r="H26" s="82"/>
    </row>
    <row r="27" spans="1:9" x14ac:dyDescent="0.25">
      <c r="B27" s="79"/>
      <c r="C27" s="79"/>
      <c r="D27" s="79"/>
      <c r="E27" s="79"/>
      <c r="F27" s="79"/>
      <c r="G27" s="81"/>
      <c r="H27" s="82"/>
    </row>
    <row r="28" spans="1:9" x14ac:dyDescent="0.25">
      <c r="B28" s="79"/>
      <c r="C28" s="79"/>
      <c r="D28" s="79"/>
      <c r="E28" s="79"/>
      <c r="F28" s="79"/>
      <c r="G28" s="81"/>
      <c r="H28" s="82"/>
    </row>
    <row r="29" spans="1:9" x14ac:dyDescent="0.25">
      <c r="B29" s="79"/>
      <c r="C29" s="79"/>
      <c r="D29" s="79"/>
      <c r="E29" s="79"/>
      <c r="F29" s="79"/>
      <c r="G29" s="81"/>
      <c r="H29" s="84"/>
    </row>
    <row r="30" spans="1:9" x14ac:dyDescent="0.25">
      <c r="B30" s="79"/>
      <c r="C30" s="79"/>
      <c r="D30" s="79"/>
      <c r="E30" s="79"/>
      <c r="F30" s="79"/>
      <c r="G30" s="81"/>
      <c r="H30" s="84"/>
    </row>
    <row r="31" spans="1:9" x14ac:dyDescent="0.25">
      <c r="B31" s="79"/>
      <c r="C31" s="79"/>
      <c r="D31" s="79"/>
      <c r="E31" s="79"/>
      <c r="F31" s="79"/>
      <c r="G31" s="81"/>
      <c r="H31" s="84"/>
    </row>
    <row r="32" spans="1:9" x14ac:dyDescent="0.25">
      <c r="B32" s="79"/>
      <c r="C32" s="79"/>
      <c r="D32" s="79"/>
      <c r="E32" s="79"/>
      <c r="F32" s="79"/>
      <c r="G32" s="81"/>
      <c r="H32" s="84"/>
    </row>
    <row r="33" spans="1:8" x14ac:dyDescent="0.25">
      <c r="A33" s="83"/>
      <c r="B33" s="79"/>
      <c r="C33" s="83"/>
      <c r="D33" s="79"/>
      <c r="E33" s="80"/>
      <c r="F33" s="80"/>
      <c r="G33" s="83"/>
      <c r="H33" s="84"/>
    </row>
    <row r="34" spans="1:8" x14ac:dyDescent="0.25">
      <c r="A34" s="83"/>
      <c r="B34" s="79"/>
      <c r="C34" s="83"/>
      <c r="D34" s="79"/>
      <c r="E34" s="80"/>
      <c r="F34" s="80"/>
      <c r="G34" s="83"/>
      <c r="H34" s="84"/>
    </row>
    <row r="35" spans="1:8" x14ac:dyDescent="0.25">
      <c r="A35" s="83"/>
      <c r="B35" s="79"/>
      <c r="C35" s="83"/>
      <c r="D35" s="79"/>
      <c r="E35" s="80"/>
      <c r="F35" s="80"/>
      <c r="G35" s="81"/>
      <c r="H35" s="84"/>
    </row>
  </sheetData>
  <autoFilter ref="A1:I32" xr:uid="{00000000-0009-0000-0000-00001D000000}"/>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abelle1"/>
  <dimension ref="A1:E137"/>
  <sheetViews>
    <sheetView topLeftCell="A99" workbookViewId="0">
      <selection activeCell="D99" sqref="D99"/>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48"/>
      <c r="B1" s="48"/>
      <c r="C1" s="48"/>
      <c r="D1" s="48"/>
      <c r="E1" s="48"/>
    </row>
    <row r="2" spans="1:5" x14ac:dyDescent="0.3">
      <c r="A2" s="49" t="s">
        <v>54</v>
      </c>
      <c r="B2" s="49" t="s">
        <v>75</v>
      </c>
      <c r="C2" s="51" t="s">
        <v>52</v>
      </c>
      <c r="D2" s="51" t="s">
        <v>53</v>
      </c>
      <c r="E2" s="48"/>
    </row>
    <row r="3" spans="1:5" x14ac:dyDescent="0.3">
      <c r="A3" s="50" t="s">
        <v>76</v>
      </c>
      <c r="B3" s="50" t="s">
        <v>56</v>
      </c>
      <c r="C3" s="48" t="s">
        <v>1</v>
      </c>
      <c r="D3" s="48" t="s">
        <v>33</v>
      </c>
      <c r="E3" s="48"/>
    </row>
    <row r="4" spans="1:5" x14ac:dyDescent="0.3">
      <c r="A4" s="50" t="s">
        <v>76</v>
      </c>
      <c r="B4" s="50" t="s">
        <v>57</v>
      </c>
      <c r="C4" s="48" t="s">
        <v>7</v>
      </c>
      <c r="D4" s="48" t="s">
        <v>34</v>
      </c>
      <c r="E4" s="48"/>
    </row>
    <row r="5" spans="1:5" x14ac:dyDescent="0.3">
      <c r="A5" s="50" t="s">
        <v>76</v>
      </c>
      <c r="B5" s="50" t="s">
        <v>58</v>
      </c>
      <c r="C5" s="48" t="s">
        <v>2</v>
      </c>
      <c r="D5" s="48" t="s">
        <v>35</v>
      </c>
      <c r="E5" s="48"/>
    </row>
    <row r="6" spans="1:5" x14ac:dyDescent="0.3">
      <c r="A6" s="50" t="s">
        <v>76</v>
      </c>
      <c r="B6" s="50" t="s">
        <v>59</v>
      </c>
      <c r="C6" s="48" t="s">
        <v>3</v>
      </c>
      <c r="D6" s="48" t="s">
        <v>37</v>
      </c>
      <c r="E6" s="48"/>
    </row>
    <row r="7" spans="1:5" x14ac:dyDescent="0.3">
      <c r="A7" s="50" t="s">
        <v>76</v>
      </c>
      <c r="B7" s="50" t="s">
        <v>60</v>
      </c>
      <c r="C7" s="48" t="s">
        <v>36</v>
      </c>
      <c r="D7" s="48" t="s">
        <v>38</v>
      </c>
      <c r="E7" s="48"/>
    </row>
    <row r="8" spans="1:5" x14ac:dyDescent="0.3">
      <c r="A8" s="50" t="s">
        <v>76</v>
      </c>
      <c r="B8" s="50" t="s">
        <v>61</v>
      </c>
      <c r="C8" s="48" t="s">
        <v>16</v>
      </c>
      <c r="D8" s="48" t="s">
        <v>39</v>
      </c>
      <c r="E8" s="48"/>
    </row>
    <row r="9" spans="1:5" x14ac:dyDescent="0.3">
      <c r="A9" s="50" t="s">
        <v>76</v>
      </c>
      <c r="B9" s="50" t="s">
        <v>62</v>
      </c>
      <c r="C9" s="48" t="s">
        <v>15</v>
      </c>
      <c r="D9" s="48" t="s">
        <v>40</v>
      </c>
      <c r="E9" s="48"/>
    </row>
    <row r="10" spans="1:5" x14ac:dyDescent="0.3">
      <c r="A10" s="50" t="s">
        <v>76</v>
      </c>
      <c r="B10" s="50" t="s">
        <v>63</v>
      </c>
      <c r="C10" s="48" t="s">
        <v>4</v>
      </c>
      <c r="D10" s="48" t="s">
        <v>41</v>
      </c>
      <c r="E10" s="48"/>
    </row>
    <row r="11" spans="1:5" x14ac:dyDescent="0.3">
      <c r="A11" s="50" t="s">
        <v>76</v>
      </c>
      <c r="B11" s="50" t="s">
        <v>64</v>
      </c>
      <c r="C11" s="48" t="s">
        <v>13</v>
      </c>
      <c r="D11" s="48" t="s">
        <v>13</v>
      </c>
      <c r="E11" s="48"/>
    </row>
    <row r="12" spans="1:5" x14ac:dyDescent="0.3">
      <c r="A12" s="50" t="s">
        <v>76</v>
      </c>
      <c r="B12" s="50" t="s">
        <v>65</v>
      </c>
      <c r="C12" s="48" t="s">
        <v>50</v>
      </c>
      <c r="D12" s="48" t="s">
        <v>42</v>
      </c>
      <c r="E12" s="48"/>
    </row>
    <row r="13" spans="1:5" x14ac:dyDescent="0.3">
      <c r="A13" s="50" t="s">
        <v>76</v>
      </c>
      <c r="B13" s="50" t="s">
        <v>66</v>
      </c>
      <c r="C13" s="48" t="s">
        <v>169</v>
      </c>
      <c r="D13" s="48" t="s">
        <v>170</v>
      </c>
      <c r="E13" s="48"/>
    </row>
    <row r="14" spans="1:5" x14ac:dyDescent="0.3">
      <c r="A14" s="50" t="s">
        <v>76</v>
      </c>
      <c r="B14" s="50" t="s">
        <v>67</v>
      </c>
      <c r="C14" s="48" t="s">
        <v>294</v>
      </c>
      <c r="D14" s="48" t="s">
        <v>303</v>
      </c>
      <c r="E14" s="48"/>
    </row>
    <row r="15" spans="1:5" x14ac:dyDescent="0.3">
      <c r="A15" s="50" t="s">
        <v>76</v>
      </c>
      <c r="B15" s="50" t="s">
        <v>295</v>
      </c>
      <c r="C15" s="48" t="s">
        <v>51</v>
      </c>
      <c r="D15" s="48" t="s">
        <v>43</v>
      </c>
      <c r="E15" s="48"/>
    </row>
    <row r="16" spans="1:5" x14ac:dyDescent="0.3">
      <c r="A16" s="50" t="s">
        <v>76</v>
      </c>
      <c r="B16" s="50" t="s">
        <v>296</v>
      </c>
      <c r="C16" s="48" t="s">
        <v>0</v>
      </c>
      <c r="D16" s="48" t="s">
        <v>44</v>
      </c>
      <c r="E16" s="48"/>
    </row>
    <row r="17" spans="1:5" x14ac:dyDescent="0.3">
      <c r="A17" s="50" t="s">
        <v>76</v>
      </c>
      <c r="B17" s="50" t="s">
        <v>68</v>
      </c>
      <c r="C17" s="48" t="s">
        <v>9</v>
      </c>
      <c r="D17" s="48" t="s">
        <v>45</v>
      </c>
      <c r="E17" s="48"/>
    </row>
    <row r="18" spans="1:5" x14ac:dyDescent="0.3">
      <c r="A18" s="50" t="s">
        <v>76</v>
      </c>
      <c r="B18" s="50" t="s">
        <v>297</v>
      </c>
      <c r="C18" s="48" t="s">
        <v>8</v>
      </c>
      <c r="D18" s="48" t="s">
        <v>55</v>
      </c>
      <c r="E18" s="48"/>
    </row>
    <row r="19" spans="1:5" x14ac:dyDescent="0.3">
      <c r="A19" s="50"/>
      <c r="B19" s="50"/>
      <c r="C19" s="48"/>
      <c r="D19" s="48"/>
      <c r="E19" s="48"/>
    </row>
    <row r="20" spans="1:5" ht="43.2" x14ac:dyDescent="0.3">
      <c r="A20" s="50" t="s">
        <v>76</v>
      </c>
      <c r="B20" s="50" t="s">
        <v>73</v>
      </c>
      <c r="C20" s="48" t="s">
        <v>69</v>
      </c>
      <c r="D20" s="52" t="s">
        <v>46</v>
      </c>
      <c r="E20" s="48"/>
    </row>
    <row r="21" spans="1:5" x14ac:dyDescent="0.3">
      <c r="A21" s="50" t="s">
        <v>76</v>
      </c>
      <c r="B21" s="50" t="s">
        <v>298</v>
      </c>
      <c r="C21" s="48" t="s">
        <v>70</v>
      </c>
      <c r="D21" s="48" t="s">
        <v>47</v>
      </c>
      <c r="E21" s="48"/>
    </row>
    <row r="22" spans="1:5" x14ac:dyDescent="0.3">
      <c r="A22" s="50" t="s">
        <v>76</v>
      </c>
      <c r="B22" s="50" t="s">
        <v>299</v>
      </c>
      <c r="C22" s="48" t="s">
        <v>71</v>
      </c>
      <c r="D22" s="48" t="s">
        <v>48</v>
      </c>
      <c r="E22" s="48"/>
    </row>
    <row r="23" spans="1:5" x14ac:dyDescent="0.3">
      <c r="A23" s="50" t="s">
        <v>76</v>
      </c>
      <c r="B23" s="50" t="s">
        <v>300</v>
      </c>
      <c r="C23" s="48" t="s">
        <v>72</v>
      </c>
      <c r="D23" s="48" t="s">
        <v>49</v>
      </c>
      <c r="E23" s="48"/>
    </row>
    <row r="24" spans="1:5" x14ac:dyDescent="0.3">
      <c r="A24" s="50" t="s">
        <v>76</v>
      </c>
      <c r="B24" s="50" t="s">
        <v>301</v>
      </c>
      <c r="C24" s="48" t="s">
        <v>32</v>
      </c>
      <c r="D24" s="48" t="s">
        <v>171</v>
      </c>
      <c r="E24" s="48"/>
    </row>
    <row r="25" spans="1:5" x14ac:dyDescent="0.3">
      <c r="A25" s="50"/>
      <c r="B25" s="50"/>
      <c r="C25" s="48"/>
      <c r="D25" s="48"/>
      <c r="E25" s="48"/>
    </row>
    <row r="26" spans="1:5" x14ac:dyDescent="0.3">
      <c r="A26" s="49"/>
      <c r="B26" s="49" t="s">
        <v>84</v>
      </c>
      <c r="C26" s="49"/>
      <c r="D26" s="49"/>
      <c r="E26" s="48"/>
    </row>
    <row r="27" spans="1:5" x14ac:dyDescent="0.3">
      <c r="A27" s="50" t="s">
        <v>77</v>
      </c>
      <c r="B27" s="50" t="s">
        <v>78</v>
      </c>
      <c r="C27" s="48" t="s">
        <v>79</v>
      </c>
      <c r="D27" s="48" t="s">
        <v>82</v>
      </c>
      <c r="E27" s="48"/>
    </row>
    <row r="28" spans="1:5" x14ac:dyDescent="0.3">
      <c r="A28" s="50" t="s">
        <v>77</v>
      </c>
      <c r="B28" s="50" t="s">
        <v>80</v>
      </c>
      <c r="C28" s="48" t="s">
        <v>81</v>
      </c>
      <c r="D28" s="48" t="s">
        <v>83</v>
      </c>
      <c r="E28" s="48"/>
    </row>
    <row r="29" spans="1:5" x14ac:dyDescent="0.3">
      <c r="A29" s="50"/>
      <c r="B29" s="50"/>
      <c r="C29" s="48"/>
      <c r="D29" s="48"/>
      <c r="E29" s="48"/>
    </row>
    <row r="30" spans="1:5" x14ac:dyDescent="0.3">
      <c r="A30" s="49"/>
      <c r="B30" s="49" t="s">
        <v>168</v>
      </c>
      <c r="C30" s="49"/>
      <c r="D30" s="49"/>
      <c r="E30" s="48"/>
    </row>
    <row r="31" spans="1:5" ht="43.2" x14ac:dyDescent="0.3">
      <c r="A31" s="50" t="s">
        <v>85</v>
      </c>
      <c r="B31" s="50" t="s">
        <v>56</v>
      </c>
      <c r="C31" s="52" t="s">
        <v>86</v>
      </c>
      <c r="D31" s="52" t="s">
        <v>105</v>
      </c>
      <c r="E31" s="48"/>
    </row>
    <row r="32" spans="1:5" ht="28.8" x14ac:dyDescent="0.3">
      <c r="A32" s="50" t="s">
        <v>85</v>
      </c>
      <c r="B32" s="50" t="s">
        <v>57</v>
      </c>
      <c r="C32" s="52" t="s">
        <v>87</v>
      </c>
      <c r="D32" s="52" t="s">
        <v>99</v>
      </c>
      <c r="E32" s="48"/>
    </row>
    <row r="33" spans="1:5" ht="43.2" x14ac:dyDescent="0.3">
      <c r="A33" s="50" t="s">
        <v>85</v>
      </c>
      <c r="B33" s="50" t="s">
        <v>58</v>
      </c>
      <c r="C33" s="52" t="s">
        <v>288</v>
      </c>
      <c r="D33" s="52" t="s">
        <v>289</v>
      </c>
      <c r="E33" s="48"/>
    </row>
    <row r="34" spans="1:5" ht="57.6" x14ac:dyDescent="0.3">
      <c r="A34" s="50" t="s">
        <v>85</v>
      </c>
      <c r="B34" s="50" t="s">
        <v>59</v>
      </c>
      <c r="C34" s="52" t="s">
        <v>88</v>
      </c>
      <c r="D34" s="52" t="s">
        <v>104</v>
      </c>
      <c r="E34" s="48"/>
    </row>
    <row r="35" spans="1:5" x14ac:dyDescent="0.3">
      <c r="A35" s="50" t="s">
        <v>85</v>
      </c>
      <c r="B35" s="50" t="s">
        <v>60</v>
      </c>
      <c r="C35" s="48" t="s">
        <v>89</v>
      </c>
      <c r="D35" s="48" t="s">
        <v>100</v>
      </c>
      <c r="E35" s="48"/>
    </row>
    <row r="36" spans="1:5" ht="72" x14ac:dyDescent="0.3">
      <c r="A36" s="50" t="s">
        <v>85</v>
      </c>
      <c r="B36" s="50" t="s">
        <v>61</v>
      </c>
      <c r="C36" s="52" t="s">
        <v>90</v>
      </c>
      <c r="D36" s="52" t="s">
        <v>103</v>
      </c>
      <c r="E36" s="48"/>
    </row>
    <row r="37" spans="1:5" ht="86.4" x14ac:dyDescent="0.3">
      <c r="A37" s="50" t="s">
        <v>85</v>
      </c>
      <c r="B37" s="50" t="s">
        <v>62</v>
      </c>
      <c r="C37" s="52" t="s">
        <v>91</v>
      </c>
      <c r="D37" s="52" t="s">
        <v>102</v>
      </c>
      <c r="E37" s="48"/>
    </row>
    <row r="38" spans="1:5" ht="129.6" x14ac:dyDescent="0.3">
      <c r="A38" s="50" t="s">
        <v>85</v>
      </c>
      <c r="B38" s="50" t="s">
        <v>63</v>
      </c>
      <c r="C38" s="52" t="s">
        <v>92</v>
      </c>
      <c r="D38" s="52" t="s">
        <v>101</v>
      </c>
      <c r="E38" s="48"/>
    </row>
    <row r="39" spans="1:5" ht="316.8" x14ac:dyDescent="0.3">
      <c r="A39" s="48" t="s">
        <v>85</v>
      </c>
      <c r="B39" s="50" t="s">
        <v>64</v>
      </c>
      <c r="C39" s="52" t="s">
        <v>98</v>
      </c>
      <c r="D39" s="53" t="s">
        <v>106</v>
      </c>
      <c r="E39" s="48"/>
    </row>
    <row r="40" spans="1:5" ht="216" x14ac:dyDescent="0.3">
      <c r="A40" s="48" t="s">
        <v>85</v>
      </c>
      <c r="B40" s="50" t="s">
        <v>63</v>
      </c>
      <c r="C40" s="52" t="s">
        <v>93</v>
      </c>
      <c r="D40" s="52" t="s">
        <v>107</v>
      </c>
      <c r="E40" s="48"/>
    </row>
    <row r="41" spans="1:5" x14ac:dyDescent="0.3">
      <c r="A41" s="48" t="s">
        <v>85</v>
      </c>
      <c r="B41" s="50" t="s">
        <v>66</v>
      </c>
      <c r="C41" s="48" t="s">
        <v>94</v>
      </c>
      <c r="D41" s="48" t="s">
        <v>108</v>
      </c>
      <c r="E41" s="48"/>
    </row>
    <row r="42" spans="1:5" ht="244.8" x14ac:dyDescent="0.3">
      <c r="A42" s="48" t="s">
        <v>85</v>
      </c>
      <c r="B42" s="50" t="s">
        <v>295</v>
      </c>
      <c r="C42" s="52" t="s">
        <v>110</v>
      </c>
      <c r="D42" s="52" t="s">
        <v>109</v>
      </c>
      <c r="E42" s="48"/>
    </row>
    <row r="43" spans="1:5" x14ac:dyDescent="0.3">
      <c r="A43" s="48" t="s">
        <v>85</v>
      </c>
      <c r="B43" s="50" t="s">
        <v>296</v>
      </c>
      <c r="C43" s="48" t="s">
        <v>95</v>
      </c>
      <c r="D43" s="48" t="s">
        <v>111</v>
      </c>
      <c r="E43" s="48"/>
    </row>
    <row r="44" spans="1:5" ht="316.8" x14ac:dyDescent="0.3">
      <c r="A44" s="48" t="s">
        <v>85</v>
      </c>
      <c r="B44" s="50" t="s">
        <v>301</v>
      </c>
      <c r="C44" s="52" t="s">
        <v>96</v>
      </c>
      <c r="D44" s="52" t="s">
        <v>112</v>
      </c>
      <c r="E44" s="48"/>
    </row>
    <row r="45" spans="1:5" x14ac:dyDescent="0.3">
      <c r="A45" s="48"/>
      <c r="B45" s="50"/>
      <c r="C45" s="52"/>
      <c r="D45" s="52"/>
      <c r="E45" s="48"/>
    </row>
    <row r="46" spans="1:5" x14ac:dyDescent="0.3">
      <c r="A46" s="49"/>
      <c r="B46" s="49"/>
      <c r="C46" s="49"/>
      <c r="D46" s="49"/>
      <c r="E46" s="48"/>
    </row>
    <row r="47" spans="1:5" x14ac:dyDescent="0.3">
      <c r="A47" s="50" t="s">
        <v>76</v>
      </c>
      <c r="B47" s="50" t="s">
        <v>120</v>
      </c>
      <c r="C47" s="54" t="s">
        <v>132</v>
      </c>
      <c r="D47" s="54" t="s">
        <v>128</v>
      </c>
    </row>
    <row r="48" spans="1:5" x14ac:dyDescent="0.3">
      <c r="A48" s="50" t="s">
        <v>76</v>
      </c>
      <c r="B48" s="50" t="s">
        <v>113</v>
      </c>
      <c r="C48" s="54" t="s">
        <v>121</v>
      </c>
      <c r="D48" s="54" t="s">
        <v>129</v>
      </c>
    </row>
    <row r="49" spans="1:4" x14ac:dyDescent="0.3">
      <c r="A49" s="50" t="s">
        <v>76</v>
      </c>
      <c r="B49" s="50" t="s">
        <v>114</v>
      </c>
      <c r="C49" s="54" t="s">
        <v>122</v>
      </c>
      <c r="D49" s="54" t="s">
        <v>130</v>
      </c>
    </row>
    <row r="50" spans="1:4" x14ac:dyDescent="0.3">
      <c r="A50" s="50" t="s">
        <v>76</v>
      </c>
      <c r="B50" s="50" t="s">
        <v>115</v>
      </c>
      <c r="C50" s="54" t="s">
        <v>123</v>
      </c>
      <c r="D50" s="54" t="s">
        <v>131</v>
      </c>
    </row>
    <row r="51" spans="1:4" x14ac:dyDescent="0.3">
      <c r="A51" s="50" t="s">
        <v>76</v>
      </c>
      <c r="B51" s="50" t="s">
        <v>116</v>
      </c>
      <c r="C51" s="54" t="s">
        <v>127</v>
      </c>
      <c r="D51" s="54" t="s">
        <v>136</v>
      </c>
    </row>
    <row r="52" spans="1:4" x14ac:dyDescent="0.3">
      <c r="A52" s="50" t="s">
        <v>76</v>
      </c>
      <c r="B52" s="50" t="s">
        <v>117</v>
      </c>
      <c r="C52" s="54" t="s">
        <v>124</v>
      </c>
      <c r="D52" s="54" t="s">
        <v>133</v>
      </c>
    </row>
    <row r="53" spans="1:4" x14ac:dyDescent="0.3">
      <c r="A53" s="50" t="s">
        <v>76</v>
      </c>
      <c r="B53" s="50" t="s">
        <v>118</v>
      </c>
      <c r="C53" s="54" t="s">
        <v>125</v>
      </c>
      <c r="D53" s="54" t="s">
        <v>134</v>
      </c>
    </row>
    <row r="54" spans="1:4" x14ac:dyDescent="0.3">
      <c r="A54" s="50" t="s">
        <v>76</v>
      </c>
      <c r="B54" s="50" t="s">
        <v>119</v>
      </c>
      <c r="C54" s="54" t="s">
        <v>126</v>
      </c>
      <c r="D54" s="54" t="s">
        <v>135</v>
      </c>
    </row>
    <row r="55" spans="1:4" x14ac:dyDescent="0.3">
      <c r="A55" s="50" t="s">
        <v>76</v>
      </c>
      <c r="B55" s="50" t="s">
        <v>74</v>
      </c>
      <c r="C55" s="54" t="s">
        <v>233</v>
      </c>
      <c r="D55" s="54" t="s">
        <v>234</v>
      </c>
    </row>
    <row r="56" spans="1:4" x14ac:dyDescent="0.3">
      <c r="A56" s="50" t="s">
        <v>76</v>
      </c>
      <c r="B56" s="50" t="s">
        <v>302</v>
      </c>
      <c r="C56" s="54" t="s">
        <v>239</v>
      </c>
      <c r="D56" s="54" t="s">
        <v>240</v>
      </c>
    </row>
    <row r="57" spans="1:4" x14ac:dyDescent="0.3">
      <c r="A57" s="50" t="s">
        <v>137</v>
      </c>
      <c r="B57" s="50" t="s">
        <v>97</v>
      </c>
      <c r="C57" t="s">
        <v>138</v>
      </c>
      <c r="D57" t="s">
        <v>139</v>
      </c>
    </row>
    <row r="58" spans="1:4" x14ac:dyDescent="0.3">
      <c r="B58" s="50"/>
    </row>
    <row r="59" spans="1:4" x14ac:dyDescent="0.3">
      <c r="A59" s="49"/>
      <c r="B59" s="49"/>
      <c r="C59" s="49"/>
      <c r="D59" s="49"/>
    </row>
    <row r="60" spans="1:4" ht="57.6" x14ac:dyDescent="0.3">
      <c r="A60" s="50" t="s">
        <v>167</v>
      </c>
      <c r="B60" s="50" t="s">
        <v>141</v>
      </c>
      <c r="C60" s="55" t="s">
        <v>143</v>
      </c>
      <c r="D60" s="55" t="s">
        <v>159</v>
      </c>
    </row>
    <row r="61" spans="1:4" x14ac:dyDescent="0.3">
      <c r="A61" s="50" t="s">
        <v>167</v>
      </c>
      <c r="B61" s="50" t="s">
        <v>140</v>
      </c>
      <c r="C61" s="56" t="s">
        <v>142</v>
      </c>
      <c r="D61" s="56" t="s">
        <v>160</v>
      </c>
    </row>
    <row r="62" spans="1:4" x14ac:dyDescent="0.3">
      <c r="A62" s="50" t="s">
        <v>167</v>
      </c>
      <c r="B62" s="50" t="s">
        <v>150</v>
      </c>
      <c r="C62" s="56" t="s">
        <v>144</v>
      </c>
      <c r="D62" s="56" t="s">
        <v>161</v>
      </c>
    </row>
    <row r="63" spans="1:4" x14ac:dyDescent="0.3">
      <c r="A63" s="50" t="s">
        <v>167</v>
      </c>
      <c r="B63" s="50" t="s">
        <v>151</v>
      </c>
      <c r="C63" s="56" t="s">
        <v>145</v>
      </c>
      <c r="D63" s="56" t="s">
        <v>162</v>
      </c>
    </row>
    <row r="64" spans="1:4" x14ac:dyDescent="0.3">
      <c r="A64" s="50" t="s">
        <v>167</v>
      </c>
      <c r="B64" s="50" t="s">
        <v>152</v>
      </c>
      <c r="C64" s="56" t="s">
        <v>146</v>
      </c>
      <c r="D64" s="56" t="s">
        <v>163</v>
      </c>
    </row>
    <row r="65" spans="1:4" x14ac:dyDescent="0.3">
      <c r="A65" s="50" t="s">
        <v>167</v>
      </c>
      <c r="B65" s="50" t="s">
        <v>153</v>
      </c>
      <c r="C65" s="56" t="s">
        <v>147</v>
      </c>
      <c r="D65" s="48" t="s">
        <v>166</v>
      </c>
    </row>
    <row r="66" spans="1:4" x14ac:dyDescent="0.3">
      <c r="A66" s="50" t="s">
        <v>167</v>
      </c>
      <c r="B66" s="50" t="s">
        <v>154</v>
      </c>
      <c r="C66" s="56" t="s">
        <v>148</v>
      </c>
      <c r="D66" s="48" t="s">
        <v>165</v>
      </c>
    </row>
    <row r="67" spans="1:4" x14ac:dyDescent="0.3">
      <c r="A67" s="50" t="s">
        <v>167</v>
      </c>
      <c r="B67" s="50" t="s">
        <v>155</v>
      </c>
      <c r="C67" s="56" t="s">
        <v>149</v>
      </c>
      <c r="D67" s="48" t="s">
        <v>164</v>
      </c>
    </row>
    <row r="68" spans="1:4" x14ac:dyDescent="0.3">
      <c r="A68" s="50"/>
      <c r="B68" s="50"/>
      <c r="C68" s="56"/>
      <c r="D68" s="48"/>
    </row>
    <row r="69" spans="1:4" x14ac:dyDescent="0.3">
      <c r="A69" s="49"/>
      <c r="B69" s="49"/>
      <c r="C69" s="49"/>
      <c r="D69" s="49"/>
    </row>
    <row r="70" spans="1:4" x14ac:dyDescent="0.3">
      <c r="A70" s="50" t="s">
        <v>156</v>
      </c>
      <c r="B70" s="50" t="s">
        <v>141</v>
      </c>
      <c r="C70" s="56" t="s">
        <v>157</v>
      </c>
      <c r="D70" s="56" t="s">
        <v>158</v>
      </c>
    </row>
    <row r="71" spans="1:4" x14ac:dyDescent="0.3">
      <c r="A71" s="50" t="s">
        <v>156</v>
      </c>
      <c r="B71" s="50" t="s">
        <v>140</v>
      </c>
      <c r="C71" s="56" t="s">
        <v>157</v>
      </c>
      <c r="D71" s="56" t="s">
        <v>158</v>
      </c>
    </row>
    <row r="72" spans="1:4" x14ac:dyDescent="0.3">
      <c r="A72" s="50" t="s">
        <v>156</v>
      </c>
      <c r="B72" s="50" t="s">
        <v>150</v>
      </c>
      <c r="C72" s="56" t="s">
        <v>157</v>
      </c>
      <c r="D72" s="56" t="s">
        <v>158</v>
      </c>
    </row>
    <row r="73" spans="1:4" x14ac:dyDescent="0.3">
      <c r="A73" s="50" t="s">
        <v>156</v>
      </c>
      <c r="B73" s="50" t="s">
        <v>151</v>
      </c>
      <c r="C73" s="56" t="s">
        <v>157</v>
      </c>
      <c r="D73" s="56" t="s">
        <v>158</v>
      </c>
    </row>
    <row r="74" spans="1:4" x14ac:dyDescent="0.3">
      <c r="A74" s="50" t="s">
        <v>156</v>
      </c>
      <c r="B74" s="50" t="s">
        <v>152</v>
      </c>
      <c r="C74" s="56" t="s">
        <v>157</v>
      </c>
      <c r="D74" s="56" t="s">
        <v>158</v>
      </c>
    </row>
    <row r="75" spans="1:4" x14ac:dyDescent="0.3">
      <c r="A75" s="50" t="s">
        <v>156</v>
      </c>
      <c r="B75" s="50" t="s">
        <v>153</v>
      </c>
      <c r="C75" s="56" t="s">
        <v>157</v>
      </c>
      <c r="D75" s="56" t="s">
        <v>158</v>
      </c>
    </row>
    <row r="76" spans="1:4" x14ac:dyDescent="0.3">
      <c r="A76" s="50" t="s">
        <v>156</v>
      </c>
      <c r="B76" s="50" t="s">
        <v>154</v>
      </c>
      <c r="C76" s="56" t="s">
        <v>157</v>
      </c>
      <c r="D76" s="56" t="s">
        <v>158</v>
      </c>
    </row>
    <row r="77" spans="1:4" x14ac:dyDescent="0.3">
      <c r="A77" s="50" t="s">
        <v>156</v>
      </c>
      <c r="B77" s="50" t="s">
        <v>155</v>
      </c>
      <c r="C77" s="56" t="s">
        <v>157</v>
      </c>
      <c r="D77" s="56" t="s">
        <v>158</v>
      </c>
    </row>
    <row r="78" spans="1:4" x14ac:dyDescent="0.3">
      <c r="A78" s="50"/>
      <c r="B78" s="50"/>
      <c r="D78" s="48"/>
    </row>
    <row r="79" spans="1:4" x14ac:dyDescent="0.3">
      <c r="A79" s="49"/>
      <c r="B79" s="58"/>
      <c r="C79" s="49"/>
      <c r="D79" s="49"/>
    </row>
    <row r="80" spans="1:4" x14ac:dyDescent="0.3">
      <c r="A80" s="50" t="s">
        <v>172</v>
      </c>
      <c r="B80" s="50"/>
      <c r="C80" t="s">
        <v>173</v>
      </c>
      <c r="D80" t="s">
        <v>174</v>
      </c>
    </row>
    <row r="81" spans="1:4" x14ac:dyDescent="0.3">
      <c r="A81" s="50" t="s">
        <v>172</v>
      </c>
      <c r="B81" s="50"/>
      <c r="C81" t="s">
        <v>175</v>
      </c>
      <c r="D81" t="s">
        <v>176</v>
      </c>
    </row>
    <row r="82" spans="1:4" x14ac:dyDescent="0.3">
      <c r="A82" s="50" t="s">
        <v>172</v>
      </c>
      <c r="C82" t="s">
        <v>177</v>
      </c>
      <c r="D82" t="s">
        <v>178</v>
      </c>
    </row>
    <row r="83" spans="1:4" x14ac:dyDescent="0.3">
      <c r="A83" s="50" t="s">
        <v>172</v>
      </c>
      <c r="C83" t="s">
        <v>179</v>
      </c>
      <c r="D83" t="s">
        <v>180</v>
      </c>
    </row>
    <row r="84" spans="1:4" x14ac:dyDescent="0.3">
      <c r="A84" s="50" t="s">
        <v>172</v>
      </c>
      <c r="C84" t="s">
        <v>181</v>
      </c>
      <c r="D84" t="s">
        <v>182</v>
      </c>
    </row>
    <row r="85" spans="1:4" x14ac:dyDescent="0.3">
      <c r="A85" s="50" t="s">
        <v>172</v>
      </c>
      <c r="C85" t="s">
        <v>183</v>
      </c>
      <c r="D85" t="s">
        <v>184</v>
      </c>
    </row>
    <row r="86" spans="1:4" x14ac:dyDescent="0.3">
      <c r="A86" s="50" t="s">
        <v>172</v>
      </c>
      <c r="C86" s="57" t="s">
        <v>185</v>
      </c>
      <c r="D86" s="57" t="s">
        <v>186</v>
      </c>
    </row>
    <row r="87" spans="1:4" x14ac:dyDescent="0.3">
      <c r="A87" s="50" t="s">
        <v>172</v>
      </c>
      <c r="C87" t="s">
        <v>188</v>
      </c>
      <c r="D87" t="s">
        <v>187</v>
      </c>
    </row>
    <row r="88" spans="1:4" x14ac:dyDescent="0.3">
      <c r="A88" s="50" t="s">
        <v>172</v>
      </c>
      <c r="C88" t="s">
        <v>190</v>
      </c>
      <c r="D88" t="s">
        <v>189</v>
      </c>
    </row>
    <row r="89" spans="1:4" x14ac:dyDescent="0.3">
      <c r="A89" s="50" t="s">
        <v>172</v>
      </c>
      <c r="C89" t="s">
        <v>192</v>
      </c>
      <c r="D89" t="s">
        <v>191</v>
      </c>
    </row>
    <row r="90" spans="1:4" x14ac:dyDescent="0.3">
      <c r="A90" s="50" t="s">
        <v>172</v>
      </c>
      <c r="C90" t="s">
        <v>193</v>
      </c>
      <c r="D90" t="s">
        <v>194</v>
      </c>
    </row>
    <row r="91" spans="1:4" x14ac:dyDescent="0.3">
      <c r="A91" s="50" t="s">
        <v>172</v>
      </c>
      <c r="C91" t="s">
        <v>195</v>
      </c>
      <c r="D91" t="s">
        <v>196</v>
      </c>
    </row>
    <row r="92" spans="1:4" x14ac:dyDescent="0.3">
      <c r="A92" s="50" t="s">
        <v>172</v>
      </c>
      <c r="C92" t="s">
        <v>197</v>
      </c>
      <c r="D92" t="s">
        <v>198</v>
      </c>
    </row>
    <row r="93" spans="1:4" x14ac:dyDescent="0.3">
      <c r="A93" s="50" t="s">
        <v>172</v>
      </c>
      <c r="C93" t="s">
        <v>290</v>
      </c>
      <c r="D93" t="s">
        <v>291</v>
      </c>
    </row>
    <row r="94" spans="1:4" x14ac:dyDescent="0.3">
      <c r="A94" s="50" t="s">
        <v>172</v>
      </c>
      <c r="C94" t="s">
        <v>199</v>
      </c>
      <c r="D94" t="s">
        <v>200</v>
      </c>
    </row>
    <row r="95" spans="1:4" x14ac:dyDescent="0.3">
      <c r="A95" s="50" t="s">
        <v>172</v>
      </c>
      <c r="C95" t="s">
        <v>201</v>
      </c>
      <c r="D95" t="s">
        <v>202</v>
      </c>
    </row>
    <row r="96" spans="1:4" x14ac:dyDescent="0.3">
      <c r="A96" s="50" t="s">
        <v>172</v>
      </c>
      <c r="C96" t="s">
        <v>203</v>
      </c>
      <c r="D96" t="s">
        <v>204</v>
      </c>
    </row>
    <row r="97" spans="1:4" x14ac:dyDescent="0.3">
      <c r="A97" s="50" t="s">
        <v>172</v>
      </c>
      <c r="C97" t="s">
        <v>201</v>
      </c>
      <c r="D97" t="s">
        <v>205</v>
      </c>
    </row>
    <row r="98" spans="1:4" ht="409.6" x14ac:dyDescent="0.3">
      <c r="A98" s="50" t="s">
        <v>172</v>
      </c>
      <c r="B98" s="48" t="s">
        <v>207</v>
      </c>
      <c r="C98" s="52" t="s">
        <v>206</v>
      </c>
      <c r="D98" s="52" t="s">
        <v>208</v>
      </c>
    </row>
    <row r="99" spans="1:4" x14ac:dyDescent="0.3">
      <c r="A99" s="50" t="s">
        <v>172</v>
      </c>
      <c r="B99" s="48"/>
      <c r="C99" s="48" t="s">
        <v>346</v>
      </c>
      <c r="D99" s="48" t="s">
        <v>345</v>
      </c>
    </row>
    <row r="100" spans="1:4" x14ac:dyDescent="0.3">
      <c r="A100" s="50" t="s">
        <v>172</v>
      </c>
      <c r="B100" s="48"/>
      <c r="C100" s="48" t="s">
        <v>210</v>
      </c>
      <c r="D100" s="48" t="s">
        <v>209</v>
      </c>
    </row>
    <row r="101" spans="1:4" x14ac:dyDescent="0.3">
      <c r="A101" s="50" t="s">
        <v>172</v>
      </c>
      <c r="B101" s="48"/>
      <c r="C101" s="48" t="s">
        <v>211</v>
      </c>
      <c r="D101" s="48" t="s">
        <v>212</v>
      </c>
    </row>
    <row r="102" spans="1:4" ht="43.2" x14ac:dyDescent="0.3">
      <c r="A102" s="50" t="s">
        <v>172</v>
      </c>
      <c r="B102" s="48" t="s">
        <v>214</v>
      </c>
      <c r="C102" s="52" t="s">
        <v>217</v>
      </c>
      <c r="D102" s="52" t="s">
        <v>213</v>
      </c>
    </row>
    <row r="103" spans="1:4" x14ac:dyDescent="0.3">
      <c r="A103" s="50" t="s">
        <v>172</v>
      </c>
      <c r="C103" s="52" t="s">
        <v>216</v>
      </c>
      <c r="D103" s="52" t="s">
        <v>215</v>
      </c>
    </row>
    <row r="104" spans="1:4" x14ac:dyDescent="0.3">
      <c r="A104" s="50" t="s">
        <v>172</v>
      </c>
      <c r="C104" s="52" t="s">
        <v>218</v>
      </c>
      <c r="D104" s="52" t="s">
        <v>218</v>
      </c>
    </row>
    <row r="105" spans="1:4" x14ac:dyDescent="0.3">
      <c r="A105" s="50" t="s">
        <v>172</v>
      </c>
      <c r="C105" s="52" t="s">
        <v>220</v>
      </c>
      <c r="D105" s="52" t="s">
        <v>219</v>
      </c>
    </row>
    <row r="106" spans="1:4" x14ac:dyDescent="0.3">
      <c r="A106" s="50" t="s">
        <v>172</v>
      </c>
      <c r="C106" s="52" t="s">
        <v>222</v>
      </c>
      <c r="D106" s="52" t="s">
        <v>221</v>
      </c>
    </row>
    <row r="107" spans="1:4" x14ac:dyDescent="0.3">
      <c r="A107" s="50" t="s">
        <v>172</v>
      </c>
      <c r="C107" s="52" t="s">
        <v>224</v>
      </c>
      <c r="D107" s="52" t="s">
        <v>223</v>
      </c>
    </row>
    <row r="108" spans="1:4" x14ac:dyDescent="0.3">
      <c r="A108" s="50" t="s">
        <v>172</v>
      </c>
      <c r="C108" s="52" t="s">
        <v>237</v>
      </c>
      <c r="D108" s="52" t="s">
        <v>238</v>
      </c>
    </row>
    <row r="109" spans="1:4" x14ac:dyDescent="0.3">
      <c r="A109" s="50"/>
      <c r="C109" s="52" t="s">
        <v>236</v>
      </c>
      <c r="D109" s="52" t="s">
        <v>235</v>
      </c>
    </row>
    <row r="110" spans="1:4" x14ac:dyDescent="0.3">
      <c r="A110" s="50" t="s">
        <v>172</v>
      </c>
      <c r="C110" s="52" t="s">
        <v>226</v>
      </c>
      <c r="D110" s="52" t="s">
        <v>225</v>
      </c>
    </row>
    <row r="111" spans="1:4" x14ac:dyDescent="0.3">
      <c r="A111" s="50" t="s">
        <v>172</v>
      </c>
      <c r="C111" s="52" t="s">
        <v>228</v>
      </c>
      <c r="D111" s="52" t="s">
        <v>227</v>
      </c>
    </row>
    <row r="112" spans="1:4" x14ac:dyDescent="0.3">
      <c r="A112" s="50" t="s">
        <v>172</v>
      </c>
      <c r="C112" s="52" t="s">
        <v>230</v>
      </c>
      <c r="D112" s="52" t="s">
        <v>229</v>
      </c>
    </row>
    <row r="113" spans="1:4" x14ac:dyDescent="0.3">
      <c r="A113" s="50" t="s">
        <v>172</v>
      </c>
      <c r="C113" s="52" t="s">
        <v>232</v>
      </c>
      <c r="D113" s="52" t="s">
        <v>231</v>
      </c>
    </row>
    <row r="114" spans="1:4" x14ac:dyDescent="0.3">
      <c r="A114" s="50" t="s">
        <v>172</v>
      </c>
      <c r="C114" t="s">
        <v>241</v>
      </c>
      <c r="D114" s="52" t="s">
        <v>242</v>
      </c>
    </row>
    <row r="115" spans="1:4" x14ac:dyDescent="0.3">
      <c r="A115" s="50" t="s">
        <v>172</v>
      </c>
      <c r="C115" t="s">
        <v>244</v>
      </c>
      <c r="D115" s="52" t="s">
        <v>243</v>
      </c>
    </row>
    <row r="116" spans="1:4" x14ac:dyDescent="0.3">
      <c r="A116" s="50" t="s">
        <v>172</v>
      </c>
      <c r="C116" t="s">
        <v>245</v>
      </c>
      <c r="D116" s="52" t="s">
        <v>246</v>
      </c>
    </row>
    <row r="118" spans="1:4" x14ac:dyDescent="0.3">
      <c r="A118" s="50" t="s">
        <v>262</v>
      </c>
      <c r="C118" t="s">
        <v>247</v>
      </c>
      <c r="D118" t="s">
        <v>263</v>
      </c>
    </row>
    <row r="119" spans="1:4" x14ac:dyDescent="0.3">
      <c r="A119" s="50" t="s">
        <v>262</v>
      </c>
      <c r="C119" t="s">
        <v>248</v>
      </c>
      <c r="D119" t="s">
        <v>264</v>
      </c>
    </row>
    <row r="120" spans="1:4" x14ac:dyDescent="0.3">
      <c r="A120" s="50" t="s">
        <v>262</v>
      </c>
      <c r="C120" t="s">
        <v>249</v>
      </c>
      <c r="D120" t="s">
        <v>265</v>
      </c>
    </row>
    <row r="121" spans="1:4" ht="43.2" x14ac:dyDescent="0.3">
      <c r="A121" s="50" t="s">
        <v>262</v>
      </c>
      <c r="C121" s="60" t="s">
        <v>280</v>
      </c>
      <c r="D121" s="52" t="s">
        <v>281</v>
      </c>
    </row>
    <row r="122" spans="1:4" ht="28.8" x14ac:dyDescent="0.3">
      <c r="A122" s="50" t="s">
        <v>262</v>
      </c>
      <c r="C122" t="s">
        <v>250</v>
      </c>
      <c r="D122" s="60" t="s">
        <v>266</v>
      </c>
    </row>
    <row r="123" spans="1:4" x14ac:dyDescent="0.3">
      <c r="A123" s="50" t="s">
        <v>262</v>
      </c>
      <c r="C123" t="s">
        <v>251</v>
      </c>
      <c r="D123" s="60" t="s">
        <v>267</v>
      </c>
    </row>
    <row r="124" spans="1:4" ht="43.2" x14ac:dyDescent="0.3">
      <c r="A124" s="50" t="s">
        <v>262</v>
      </c>
      <c r="C124" s="60" t="s">
        <v>282</v>
      </c>
      <c r="D124" s="52" t="s">
        <v>283</v>
      </c>
    </row>
    <row r="125" spans="1:4" x14ac:dyDescent="0.3">
      <c r="A125" s="50" t="s">
        <v>262</v>
      </c>
      <c r="C125" t="s">
        <v>252</v>
      </c>
      <c r="D125" s="52" t="s">
        <v>268</v>
      </c>
    </row>
    <row r="126" spans="1:4" x14ac:dyDescent="0.3">
      <c r="A126" s="50" t="s">
        <v>262</v>
      </c>
      <c r="C126" t="s">
        <v>253</v>
      </c>
      <c r="D126" s="52" t="s">
        <v>269</v>
      </c>
    </row>
    <row r="127" spans="1:4" x14ac:dyDescent="0.3">
      <c r="A127" s="50" t="s">
        <v>262</v>
      </c>
      <c r="C127" t="s">
        <v>254</v>
      </c>
      <c r="D127" s="52" t="s">
        <v>270</v>
      </c>
    </row>
    <row r="128" spans="1:4" x14ac:dyDescent="0.3">
      <c r="A128" s="50" t="s">
        <v>262</v>
      </c>
      <c r="C128" t="s">
        <v>255</v>
      </c>
      <c r="D128" s="52" t="s">
        <v>271</v>
      </c>
    </row>
    <row r="129" spans="1:4" x14ac:dyDescent="0.3">
      <c r="A129" s="50" t="s">
        <v>262</v>
      </c>
      <c r="C129" t="s">
        <v>256</v>
      </c>
      <c r="D129" s="52" t="s">
        <v>272</v>
      </c>
    </row>
    <row r="130" spans="1:4" x14ac:dyDescent="0.3">
      <c r="A130" s="50" t="s">
        <v>262</v>
      </c>
      <c r="C130" t="s">
        <v>257</v>
      </c>
      <c r="D130" s="52" t="s">
        <v>275</v>
      </c>
    </row>
    <row r="131" spans="1:4" x14ac:dyDescent="0.3">
      <c r="A131" s="50" t="s">
        <v>262</v>
      </c>
      <c r="C131" t="s">
        <v>258</v>
      </c>
      <c r="D131" s="52" t="s">
        <v>273</v>
      </c>
    </row>
    <row r="132" spans="1:4" x14ac:dyDescent="0.3">
      <c r="A132" s="50" t="s">
        <v>262</v>
      </c>
      <c r="C132" t="s">
        <v>259</v>
      </c>
      <c r="D132" s="52" t="s">
        <v>274</v>
      </c>
    </row>
    <row r="133" spans="1:4" x14ac:dyDescent="0.3">
      <c r="A133" s="50" t="s">
        <v>262</v>
      </c>
      <c r="C133" t="s">
        <v>260</v>
      </c>
      <c r="D133" s="52" t="s">
        <v>276</v>
      </c>
    </row>
    <row r="134" spans="1:4" x14ac:dyDescent="0.3">
      <c r="A134" s="50" t="s">
        <v>262</v>
      </c>
      <c r="C134" t="s">
        <v>261</v>
      </c>
      <c r="D134" s="52" t="s">
        <v>277</v>
      </c>
    </row>
    <row r="135" spans="1:4" x14ac:dyDescent="0.3">
      <c r="A135" s="50" t="s">
        <v>262</v>
      </c>
      <c r="C135" t="s">
        <v>279</v>
      </c>
      <c r="D135" s="52" t="s">
        <v>278</v>
      </c>
    </row>
    <row r="136" spans="1:4" x14ac:dyDescent="0.3">
      <c r="A136" s="50" t="s">
        <v>262</v>
      </c>
      <c r="C136" t="s">
        <v>284</v>
      </c>
      <c r="D136" t="s">
        <v>285</v>
      </c>
    </row>
    <row r="137" spans="1:4" x14ac:dyDescent="0.3">
      <c r="A137" s="50" t="s">
        <v>262</v>
      </c>
      <c r="C137" t="s">
        <v>286</v>
      </c>
      <c r="D137" t="s">
        <v>287</v>
      </c>
    </row>
  </sheetData>
  <phoneticPr fontId="20" type="noConversion"/>
  <hyperlinks>
    <hyperlink ref="C86" r:id="rId1" xr:uid="{00000000-0004-0000-1E00-000000000000}"/>
    <hyperlink ref="D86" r:id="rId2" xr:uid="{00000000-0004-0000-1E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34</vt:i4>
      </vt:variant>
    </vt:vector>
  </HeadingPairs>
  <TitlesOfParts>
    <vt:vector size="38" baseType="lpstr">
      <vt:lpstr>Main</vt:lpstr>
      <vt:lpstr>Goto_Activation_Entries</vt:lpstr>
      <vt:lpstr>Par_Description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Macro_Range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2019-12-07T11:40:46Z</dcterms:modified>
</cp:coreProperties>
</file>